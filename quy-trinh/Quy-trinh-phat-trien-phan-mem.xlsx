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MTRIET\app docs\quy-trinh\"/>
    </mc:Choice>
  </mc:AlternateContent>
  <xr:revisionPtr revIDLastSave="0" documentId="13_ncr:1_{C7C06619-552F-4C28-A9C4-D63EF2A8C4D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0. Trang bìa" sheetId="1" r:id="rId1"/>
    <sheet name="01. Setup ban đầu" sheetId="2" r:id="rId2"/>
    <sheet name="02. Lấy nội dung" sheetId="3" r:id="rId3"/>
    <sheet name="03. Phân tích" sheetId="4" r:id="rId4"/>
    <sheet name="04. Code BE-FE" sheetId="5" r:id="rId5"/>
    <sheet name="05. Test case" sheetId="6" r:id="rId6"/>
    <sheet name="06. Deploy" sheetId="7" r:id="rId7"/>
    <sheet name="07. Go-li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6" l="1"/>
  <c r="B32" i="6"/>
  <c r="B31" i="6"/>
  <c r="B30" i="6"/>
  <c r="B29" i="6"/>
  <c r="B33" i="6" s="1"/>
</calcChain>
</file>

<file path=xl/sharedStrings.xml><?xml version="1.0" encoding="utf-8"?>
<sst xmlns="http://schemas.openxmlformats.org/spreadsheetml/2006/main" count="1073" uniqueCount="596">
  <si>
    <t>QUY TRÌNH PHÁT TRIỂN PHẦN MỀM</t>
  </si>
  <si>
    <t>Dự án: Immigration AI — Form Filler  •  Redmine: AI DOCS</t>
  </si>
  <si>
    <t>Tên dự án</t>
  </si>
  <si>
    <t>Immigration AI — Form Filler (Next.js + FastAPI + OpenAI)</t>
  </si>
  <si>
    <t>Dự án trên Redmine</t>
  </si>
  <si>
    <t>AI DOCS</t>
  </si>
  <si>
    <t>Trưởng dự án / Assignee (IT Manager)</t>
  </si>
  <si>
    <t>Trần Minh Triết (Triet Tran)</t>
  </si>
  <si>
    <t>Người duyệt / Reviewer (Phó TGĐ)</t>
  </si>
  <si>
    <t>Nguyễn Nhân Trọng (Trong Nguyen)</t>
  </si>
  <si>
    <t>IT Tester</t>
  </si>
  <si>
    <t>Nguyễn Đức Khánh</t>
  </si>
  <si>
    <t>Giai đoạn hiện tại</t>
  </si>
  <si>
    <t>Bước 5 — Unit test (ticket #486), 3 bộ hồ sơ</t>
  </si>
  <si>
    <t>Hạn hoàn tất unit test / sửa lỗi</t>
  </si>
  <si>
    <t>07/07/2026  (ticket #489 — IT điều chỉnh code)</t>
  </si>
  <si>
    <t>Đưa lên môi trường product</t>
  </si>
  <si>
    <t>09/07/2026  (ticket #487)</t>
  </si>
  <si>
    <t>Go-live chính thức</t>
  </si>
  <si>
    <t>09/07/2026</t>
  </si>
  <si>
    <t>Phiên bản / Ngày lập</t>
  </si>
  <si>
    <t>1.2 / 29/06/2026</t>
  </si>
  <si>
    <t>ÁNH XẠ TICKET REDMINE (AI DOCS)</t>
  </si>
  <si>
    <t>Ticket</t>
  </si>
  <si>
    <t>Nội dung</t>
  </si>
  <si>
    <t>Bước quy trình</t>
  </si>
  <si>
    <t>Start → Due</t>
  </si>
  <si>
    <t>Trạng thái</t>
  </si>
  <si>
    <t>#480</t>
  </si>
  <si>
    <t>Lên mô hình AI fill out tự động</t>
  </si>
  <si>
    <t>1. Setup / Mô hình</t>
  </si>
  <si>
    <t>01/06 → 01/06</t>
  </si>
  <si>
    <t>Hoàn thành</t>
  </si>
  <si>
    <t>#481</t>
  </si>
  <si>
    <t>Thu thập thông tin tài liệu phòng docs</t>
  </si>
  <si>
    <t>2. Lấy nội dung</t>
  </si>
  <si>
    <t>03/06 → 03/06</t>
  </si>
  <si>
    <t>#482</t>
  </si>
  <si>
    <t>Phân tích nghiệp vụ</t>
  </si>
  <si>
    <t>3. Phân tích</t>
  </si>
  <si>
    <t>04/06 → 04/06</t>
  </si>
  <si>
    <t>#483</t>
  </si>
  <si>
    <t>Code phần frontend</t>
  </si>
  <si>
    <t>4. Code (FE)</t>
  </si>
  <si>
    <t>05/06 → 06/06</t>
  </si>
  <si>
    <t>#484</t>
  </si>
  <si>
    <t>Code phần backend</t>
  </si>
  <si>
    <t>4. Code (BE)</t>
  </si>
  <si>
    <t>08/06 → 09/06</t>
  </si>
  <si>
    <t>#485, #486</t>
  </si>
  <si>
    <t>Test case / Unit test module Docs</t>
  </si>
  <si>
    <t>5. Test case</t>
  </si>
  <si>
    <t>29/06 → 01/07</t>
  </si>
  <si>
    <t>#488</t>
  </si>
  <si>
    <t>Rà soát lại phòng docs</t>
  </si>
  <si>
    <t>6. Rà soát docs</t>
  </si>
  <si>
    <t>01/07 → 03/07</t>
  </si>
  <si>
    <t>Chưa bắt đầu</t>
  </si>
  <si>
    <t>#489</t>
  </si>
  <si>
    <t>IT Manager điều chỉnh code</t>
  </si>
  <si>
    <t>7. Điều chỉnh code</t>
  </si>
  <si>
    <t>06/07 → 07/07</t>
  </si>
  <si>
    <t>#487</t>
  </si>
  <si>
    <t>8. Deploy</t>
  </si>
  <si>
    <t>09/07 → 09/07</t>
  </si>
  <si>
    <t>MỤC LỤC — 9 QUY TRÌNH</t>
  </si>
  <si>
    <t>Bước</t>
  </si>
  <si>
    <t>Quy trình</t>
  </si>
  <si>
    <t>Mốc thời gian</t>
  </si>
  <si>
    <t>1</t>
  </si>
  <si>
    <t>Setup ban đầu</t>
  </si>
  <si>
    <t>01/06/2026</t>
  </si>
  <si>
    <t>2</t>
  </si>
  <si>
    <t>Lấy nội dung</t>
  </si>
  <si>
    <t>03/06/2026</t>
  </si>
  <si>
    <t>3</t>
  </si>
  <si>
    <t>Phân tích</t>
  </si>
  <si>
    <t>04/06/2026</t>
  </si>
  <si>
    <t>4</t>
  </si>
  <si>
    <t>Code Backend + Frontend</t>
  </si>
  <si>
    <t>#483, #484</t>
  </si>
  <si>
    <t>05/06 → 09/06/2026</t>
  </si>
  <si>
    <t>5</t>
  </si>
  <si>
    <t>Test case (unit test)</t>
  </si>
  <si>
    <t>29/06 → 01/07/2026</t>
  </si>
  <si>
    <t>Đang làm</t>
  </si>
  <si>
    <t>6</t>
  </si>
  <si>
    <t>Rà soát phòng docs</t>
  </si>
  <si>
    <t>01/07 → 03/07/2026</t>
  </si>
  <si>
    <t>7</t>
  </si>
  <si>
    <t>06/07 → 07/07/2026</t>
  </si>
  <si>
    <t>8</t>
  </si>
  <si>
    <t>Deploy lên product</t>
  </si>
  <si>
    <t>9</t>
  </si>
  <si>
    <t>Go-live</t>
  </si>
  <si>
    <t>—</t>
  </si>
  <si>
    <t>BƯỚC 1 — SETUP BAN ĐẦU  •  Ticket #480 (Hoàn thành 01/06/2026)</t>
  </si>
  <si>
    <t>Lên mô hình AI fill out tự động + chuẩn bị môi trường, công cụ, mã nguồn, tài khoản</t>
  </si>
  <si>
    <t>A. MÔI TRƯỜNG &amp; CÔNG CỤ</t>
  </si>
  <si>
    <t>STT</t>
  </si>
  <si>
    <t>Hạng mục</t>
  </si>
  <si>
    <t>Chi tiết / Lệnh thực hiện</t>
  </si>
  <si>
    <t>Người phụ trách</t>
  </si>
  <si>
    <t>Hạn</t>
  </si>
  <si>
    <t>Ghi chú</t>
  </si>
  <si>
    <t>Cài Python 3.11+</t>
  </si>
  <si>
    <t>python --version</t>
  </si>
  <si>
    <t>Trần Minh Triết</t>
  </si>
  <si>
    <t>Cài Node.js 18+</t>
  </si>
  <si>
    <t>node -v / npm -v</t>
  </si>
  <si>
    <t>Cài Docker Desktop</t>
  </si>
  <si>
    <t>docker --version (cho PostgreSQL)</t>
  </si>
  <si>
    <t>IDE / Editor</t>
  </si>
  <si>
    <t>VS Code + extension Python, ESLint</t>
  </si>
  <si>
    <t>Git</t>
  </si>
  <si>
    <t>git --version, cấu hình user.name/email</t>
  </si>
  <si>
    <t>B. MÃ NGUỒN &amp; CẤU HÌNH</t>
  </si>
  <si>
    <t>Clone repo</t>
  </si>
  <si>
    <t>git clone &lt;url&gt; &amp;&amp; cd 'app docs'</t>
  </si>
  <si>
    <t>Backend venv</t>
  </si>
  <si>
    <t>python -m venv .venv; Activate.ps1</t>
  </si>
  <si>
    <t>Backend deps</t>
  </si>
  <si>
    <t>pip install -r requirements.txt</t>
  </si>
  <si>
    <t>Backend .env</t>
  </si>
  <si>
    <t>copy .env.example .env (DATABASE_URL, SECRET_KEY)</t>
  </si>
  <si>
    <t>10</t>
  </si>
  <si>
    <t>Frontend deps</t>
  </si>
  <si>
    <t>cd frontend; npm install</t>
  </si>
  <si>
    <t>11</t>
  </si>
  <si>
    <t>Frontend .env.local</t>
  </si>
  <si>
    <t>copy .env.local.example .env.local</t>
  </si>
  <si>
    <t>12</t>
  </si>
  <si>
    <t>Khởi tạo DB</t>
  </si>
  <si>
    <t>SQLite mặc định / docker compose up -d</t>
  </si>
  <si>
    <t>Dùng PostgreSQL (Docker)</t>
  </si>
  <si>
    <t>C. TÀI KHOẢN &amp; BÍ MẬT (SECRETS)</t>
  </si>
  <si>
    <t>13</t>
  </si>
  <si>
    <t>OPENAI_API_KEY</t>
  </si>
  <si>
    <t>Lấy tại platform.openai.com/api-keys</t>
  </si>
  <si>
    <t>Không commit lên git</t>
  </si>
  <si>
    <t>14</t>
  </si>
  <si>
    <t>SECRET_KEY backend</t>
  </si>
  <si>
    <t>Sinh chuỗi ngẫu nhiên cho JWT</t>
  </si>
  <si>
    <t>15</t>
  </si>
  <si>
    <t>Tài khoản server</t>
  </si>
  <si>
    <t>SSH / domain / chứng chỉ TLS</t>
  </si>
  <si>
    <t>16</t>
  </si>
  <si>
    <t>Repo remote &amp; quyền</t>
  </si>
  <si>
    <t>GitHub/GitLab, branch protection</t>
  </si>
  <si>
    <t>D. KIỂM TRA HOẠT ĐỘNG (SMOKE TEST)</t>
  </si>
  <si>
    <t>17</t>
  </si>
  <si>
    <t>Backend chạy</t>
  </si>
  <si>
    <t>uvicorn app.main:app --reload --port 8000</t>
  </si>
  <si>
    <t>18</t>
  </si>
  <si>
    <t>Health check</t>
  </si>
  <si>
    <t>GET /health → openai_configured: true</t>
  </si>
  <si>
    <t>19</t>
  </si>
  <si>
    <t>Frontend chạy</t>
  </si>
  <si>
    <t>npm run dev → http://localhost:3000</t>
  </si>
  <si>
    <t>20</t>
  </si>
  <si>
    <t>Chạy 1 lệnh</t>
  </si>
  <si>
    <t>npm start / run.bat / dev.ps1</t>
  </si>
  <si>
    <t>E. DOCKER CONTAINERS ĐANG CHẠY (ĐÃ SETUP — Trần Minh Triết, docker ps)</t>
  </si>
  <si>
    <t>Container</t>
  </si>
  <si>
    <t>Image</t>
  </si>
  <si>
    <t>Cổng (PORTS)</t>
  </si>
  <si>
    <t>Uptime</t>
  </si>
  <si>
    <t>Health</t>
  </si>
  <si>
    <t>immigration-ai-backend</t>
  </si>
  <si>
    <t>appdocs-backend</t>
  </si>
  <si>
    <t>8000/tcp</t>
  </si>
  <si>
    <t>20 giờ</t>
  </si>
  <si>
    <t>healthy</t>
  </si>
  <si>
    <t>uvicorn app.main:app</t>
  </si>
  <si>
    <t>immigration-ai-frontend</t>
  </si>
  <si>
    <t>appdocs-frontend</t>
  </si>
  <si>
    <t>0.0.0.0:3000-&gt;3000</t>
  </si>
  <si>
    <t>41 giờ</t>
  </si>
  <si>
    <t>Next.js</t>
  </si>
  <si>
    <t>immigration-ai-caddy</t>
  </si>
  <si>
    <t>caddy:2-alpine</t>
  </si>
  <si>
    <t>0.0.0.0:2026-&gt;443</t>
  </si>
  <si>
    <t>2 ngày</t>
  </si>
  <si>
    <t>running</t>
  </si>
  <si>
    <t>Reverse proxy HTTPS</t>
  </si>
  <si>
    <t>immigration-ai-db</t>
  </si>
  <si>
    <t>postgres:16-alpine</t>
  </si>
  <si>
    <t>5432/tcp</t>
  </si>
  <si>
    <t>9 ngày</t>
  </si>
  <si>
    <t>PostgreSQL 16</t>
  </si>
  <si>
    <t>BƯỚC 2 — LẤY NỘI DUNG / THU THẬP YÊU CẦU  •  Ticket #481 (Hoàn thành 03/06/2026)</t>
  </si>
  <si>
    <t>Thu thập thông tin &amp; tài liệu phòng docs, yêu cầu nghiệp vụ, đối tượng liên quan</t>
  </si>
  <si>
    <t>A. YÊU CẦU NGHIỆP VỤ (BUSINESS REQUIREMENTS)</t>
  </si>
  <si>
    <t>Mã YC</t>
  </si>
  <si>
    <t>Tên yêu cầu</t>
  </si>
  <si>
    <t>Mô tả chi tiết</t>
  </si>
  <si>
    <t>Đối tượng đề xuất</t>
  </si>
  <si>
    <t>Loại</t>
  </si>
  <si>
    <t>Độ ưu tiên</t>
  </si>
  <si>
    <t>Tiêu chí chấp nhận</t>
  </si>
  <si>
    <t>REQ-01</t>
  </si>
  <si>
    <t>Upload giấy tờ</t>
  </si>
  <si>
    <t>Người dùng upload passport, visa, I-20, I-94...</t>
  </si>
  <si>
    <t>Khách hàng</t>
  </si>
  <si>
    <t>Chức năng</t>
  </si>
  <si>
    <t>Cao</t>
  </si>
  <si>
    <t>Upload nhiều file, báo lỗi định dạng</t>
  </si>
  <si>
    <t>REQ-02</t>
  </si>
  <si>
    <t>OCR &amp; trích xuất</t>
  </si>
  <si>
    <t>AI tự phân loại và trích xuất dữ liệu form</t>
  </si>
  <si>
    <t>Trích đúng các field chính &gt; 90%</t>
  </si>
  <si>
    <t>REQ-03</t>
  </si>
  <si>
    <t>Merge hồ sơ</t>
  </si>
  <si>
    <t>Hợp nhất dữ liệu từ nhiều giấy tờ, giải quyết xung đột</t>
  </si>
  <si>
    <t>Nghiệp vụ</t>
  </si>
  <si>
    <t>Phát hiện &amp; cảnh báo field xung đột</t>
  </si>
  <si>
    <t>REQ-04</t>
  </si>
  <si>
    <t>Review &amp; sửa</t>
  </si>
  <si>
    <t>Màn hình duyệt, sửa field, approve</t>
  </si>
  <si>
    <t>Sửa và lưu được mọi field</t>
  </si>
  <si>
    <t>REQ-05</t>
  </si>
  <si>
    <t>Xuất Word</t>
  </si>
  <si>
    <t>Xuất DS-160 / I-539 / DS-260 worksheet</t>
  </si>
  <si>
    <t>File Word đúng template</t>
  </si>
  <si>
    <t>REQ-06</t>
  </si>
  <si>
    <t>Bảo mật dữ liệu</t>
  </si>
  <si>
    <t>Dữ liệu nhạy cảm, kiểm soát truy cập</t>
  </si>
  <si>
    <t>Pháp lý</t>
  </si>
  <si>
    <t>Phi chức năng</t>
  </si>
  <si>
    <t>JWT auth, không lộ secret</t>
  </si>
  <si>
    <t>B. TÀI LIỆU / NỘI DUNG NGUỒN</t>
  </si>
  <si>
    <t>Tên tài liệu</t>
  </si>
  <si>
    <t>Nguồn / Đường dẫn</t>
  </si>
  <si>
    <t>Người cung cấp</t>
  </si>
  <si>
    <t>Ngày nhận</t>
  </si>
  <si>
    <t>Đã xác minh</t>
  </si>
  <si>
    <t>Mẫu form DS-160</t>
  </si>
  <si>
    <t>Template gốc</t>
  </si>
  <si>
    <t>USCIS / file mẫu</t>
  </si>
  <si>
    <t>Không</t>
  </si>
  <si>
    <t>Mẫu form I-539</t>
  </si>
  <si>
    <t>Mẫu form DS-260</t>
  </si>
  <si>
    <t>Template ImmiPath</t>
  </si>
  <si>
    <t>Nội bộ</t>
  </si>
  <si>
    <t>Bộ giấy tờ mẫu</t>
  </si>
  <si>
    <t>Dữ liệu test</t>
  </si>
  <si>
    <t>uploads/</t>
  </si>
  <si>
    <t>Ẩn danh hoá</t>
  </si>
  <si>
    <t>Quy tắc nghiệp vụ điền form</t>
  </si>
  <si>
    <t>Đặc tả</t>
  </si>
  <si>
    <t>C. CÂU HỎI MỞ / GIẢ ĐỊNH CẦN LÀM RÕ</t>
  </si>
  <si>
    <t>Câu hỏi / Giả định</t>
  </si>
  <si>
    <t>Người trả lời</t>
  </si>
  <si>
    <t>Câu trả lời</t>
  </si>
  <si>
    <t>Ngày chốt</t>
  </si>
  <si>
    <t>Ảnh hưởng</t>
  </si>
  <si>
    <t>Hỗ trợ những loại form nào ở giai đoạn 1?</t>
  </si>
  <si>
    <t>Lưu trữ dữ liệu ở đâu (local/cloud)?</t>
  </si>
  <si>
    <t>Yêu cầu tuân thủ pháp lý cụ thể?</t>
  </si>
  <si>
    <t>BƯỚC 3 — PHÂN TÍCH  •  Ticket #482 (Hoàn thành 04/06/2026)</t>
  </si>
  <si>
    <t>Phân tích nghiệp vụ: use case, mô hình dữ liệu, kiến trúc &amp; rủi ro</t>
  </si>
  <si>
    <t>A. USE CASE / USER STORY</t>
  </si>
  <si>
    <t>Mã UC</t>
  </si>
  <si>
    <t>Tác nhân</t>
  </si>
  <si>
    <t>User story (Là... tôi muốn... để...)</t>
  </si>
  <si>
    <t>Luồng chính</t>
  </si>
  <si>
    <t>Luồng ngoại lệ</t>
  </si>
  <si>
    <t>YC liên quan</t>
  </si>
  <si>
    <t>Ưu tiên</t>
  </si>
  <si>
    <t>UC-01</t>
  </si>
  <si>
    <t>Người dùng</t>
  </si>
  <si>
    <t>Là user, tôi muốn đăng ký/đăng nhập để bảo mật hồ sơ</t>
  </si>
  <si>
    <t>Register → login → JWT</t>
  </si>
  <si>
    <t>Sai mật khẩu, email trùng</t>
  </si>
  <si>
    <t>UC-02</t>
  </si>
  <si>
    <t>Là user, tôi muốn upload giấy tờ để hệ thống xử lý</t>
  </si>
  <si>
    <t>Chọn file → upload → lưu</t>
  </si>
  <si>
    <t>File lỗi/định dạng sai</t>
  </si>
  <si>
    <t>UC-03</t>
  </si>
  <si>
    <t>Hệ thống AI</t>
  </si>
  <si>
    <t>Là hệ thống, tôi phân loại &amp; trích xuất dữ liệu</t>
  </si>
  <si>
    <t>Classify → extract → merge</t>
  </si>
  <si>
    <t>Demo mode khi thiếu key</t>
  </si>
  <si>
    <t>REQ-02,03</t>
  </si>
  <si>
    <t>UC-04</t>
  </si>
  <si>
    <t>Là reviewer, tôi sửa field &amp; duyệt hồ sơ</t>
  </si>
  <si>
    <t>Review → edit → approve</t>
  </si>
  <si>
    <t>Xung đột field</t>
  </si>
  <si>
    <t>UC-05</t>
  </si>
  <si>
    <t>Là user, tôi xuất file Word đã điền</t>
  </si>
  <si>
    <t>Export → tải về</t>
  </si>
  <si>
    <t>Template lỗi</t>
  </si>
  <si>
    <t>B. MÔ HÌNH DỮ LIỆU (DATA MODEL)</t>
  </si>
  <si>
    <t>Bảng / Entity</t>
  </si>
  <si>
    <t>Trường</t>
  </si>
  <si>
    <t>Kiểu dữ liệu</t>
  </si>
  <si>
    <t>Bắt buộc</t>
  </si>
  <si>
    <t>Khóa/Quan hệ</t>
  </si>
  <si>
    <t>Mô tả</t>
  </si>
  <si>
    <t>Validation</t>
  </si>
  <si>
    <t>User</t>
  </si>
  <si>
    <t>id / email / password_hash</t>
  </si>
  <si>
    <t>int / str</t>
  </si>
  <si>
    <t>Có</t>
  </si>
  <si>
    <t>PK</t>
  </si>
  <si>
    <t>Tài khoản</t>
  </si>
  <si>
    <t>email unique</t>
  </si>
  <si>
    <t>Applicant</t>
  </si>
  <si>
    <t>id / user_id / name</t>
  </si>
  <si>
    <t>FK→User</t>
  </si>
  <si>
    <t>Hồ sơ đương đơn</t>
  </si>
  <si>
    <t>Document</t>
  </si>
  <si>
    <t>id / applicant_id / type / path</t>
  </si>
  <si>
    <t>FK→Applicant</t>
  </si>
  <si>
    <t>File đã upload</t>
  </si>
  <si>
    <t>định dạng cho phép</t>
  </si>
  <si>
    <t>Profile</t>
  </si>
  <si>
    <t>applicant_id / merged_fields(json)</t>
  </si>
  <si>
    <t>json</t>
  </si>
  <si>
    <t>Hồ sơ đã merge</t>
  </si>
  <si>
    <t>Review</t>
  </si>
  <si>
    <t>id / applicant_id / status</t>
  </si>
  <si>
    <t>Trạng thái duyệt</t>
  </si>
  <si>
    <t>C. PHÂN RÃ CHỨC NĂNG &amp; ƯỚC LƯỢNG</t>
  </si>
  <si>
    <t>Module</t>
  </si>
  <si>
    <t>Lớp (BE/FE/AI)</t>
  </si>
  <si>
    <t>Phụ thuộc</t>
  </si>
  <si>
    <t>Ước lượng (giờ)</t>
  </si>
  <si>
    <t>Người làm</t>
  </si>
  <si>
    <t>Auth</t>
  </si>
  <si>
    <t>Đăng ký/đăng nhập JWT</t>
  </si>
  <si>
    <t>BE+FE</t>
  </si>
  <si>
    <t>-</t>
  </si>
  <si>
    <t>Upload</t>
  </si>
  <si>
    <t>API upload + UI</t>
  </si>
  <si>
    <t>OCR</t>
  </si>
  <si>
    <t>Classify + extract</t>
  </si>
  <si>
    <t>AI/BE</t>
  </si>
  <si>
    <t>Merge</t>
  </si>
  <si>
    <t>Hợp nhất + xung đột</t>
  </si>
  <si>
    <t>BE</t>
  </si>
  <si>
    <t>Export</t>
  </si>
  <si>
    <t>D. RỦI RO &amp; GIẢ ĐỊNH</t>
  </si>
  <si>
    <t>Rủi ro / Giả định</t>
  </si>
  <si>
    <t>Khả năng</t>
  </si>
  <si>
    <t>Mức độ</t>
  </si>
  <si>
    <t>Biện pháp giảm thiểu</t>
  </si>
  <si>
    <t>Người theo dõi</t>
  </si>
  <si>
    <t>OCR sai field nhạy cảm</t>
  </si>
  <si>
    <t>Trung bình</t>
  </si>
  <si>
    <t>Review thủ công bắt buộc</t>
  </si>
  <si>
    <t>Chi phí API OpenAI</t>
  </si>
  <si>
    <t>TB</t>
  </si>
  <si>
    <t>Demo mode, cache</t>
  </si>
  <si>
    <t>Lộ dữ liệu nhạy cảm</t>
  </si>
  <si>
    <t>Thấp</t>
  </si>
  <si>
    <t>Mã hoá, kiểm soát truy cập</t>
  </si>
  <si>
    <t>BƯỚC 4 — CODE BACKEND + FRONTEND  •  #483 FE (05-06/06), #484 BE (08-09/06) — Hoàn thành</t>
  </si>
  <si>
    <t>Phân công task lập trình, API, component, quy ước &amp; review</t>
  </si>
  <si>
    <t>A. BACKEND — API ENDPOINTS (FastAPI)</t>
  </si>
  <si>
    <t>Method</t>
  </si>
  <si>
    <t>Endpoint</t>
  </si>
  <si>
    <t>Service/Module</t>
  </si>
  <si>
    <t>Branch / PR</t>
  </si>
  <si>
    <t>POST</t>
  </si>
  <si>
    <t>/api/v1/auth/register</t>
  </si>
  <si>
    <t>Đăng ký</t>
  </si>
  <si>
    <t>auth</t>
  </si>
  <si>
    <t>/api/v1/auth/login</t>
  </si>
  <si>
    <t>Đăng nhập</t>
  </si>
  <si>
    <t>/api/v1/applicants</t>
  </si>
  <si>
    <t>Tạo hồ sơ</t>
  </si>
  <si>
    <t>applicants</t>
  </si>
  <si>
    <t>/api/v1/applicants/{id}/documents</t>
  </si>
  <si>
    <t>Upload file</t>
  </si>
  <si>
    <t>documents</t>
  </si>
  <si>
    <t>GET</t>
  </si>
  <si>
    <t>/api/v1/applicants/{id}/profile</t>
  </si>
  <si>
    <t>Xem profile merge</t>
  </si>
  <si>
    <t>profile</t>
  </si>
  <si>
    <t>/api/v1/applicants/{id}/review/approve</t>
  </si>
  <si>
    <t>Duyệt review</t>
  </si>
  <si>
    <t>review</t>
  </si>
  <si>
    <t>/api/v1/applicants/{id}/export</t>
  </si>
  <si>
    <t>export</t>
  </si>
  <si>
    <t>B. FRONTEND — TRANG &amp; COMPONENT (Next.js)</t>
  </si>
  <si>
    <t>Trang/Component</t>
  </si>
  <si>
    <t>Route</t>
  </si>
  <si>
    <t>API gọi</t>
  </si>
  <si>
    <t>Auth Page</t>
  </si>
  <si>
    <t>/login, /register</t>
  </si>
  <si>
    <t>Đăng nhập/đăng ký</t>
  </si>
  <si>
    <t>auth/*</t>
  </si>
  <si>
    <t>Dashboard</t>
  </si>
  <si>
    <t>/dashboard</t>
  </si>
  <si>
    <t>Tạo &amp; liệt kê hồ sơ</t>
  </si>
  <si>
    <t>Upload Dashboard</t>
  </si>
  <si>
    <t>/upload</t>
  </si>
  <si>
    <t>Review Dashboard</t>
  </si>
  <si>
    <t>/review</t>
  </si>
  <si>
    <t>Sửa field, duyệt</t>
  </si>
  <si>
    <t>profile, review</t>
  </si>
  <si>
    <t>/export</t>
  </si>
  <si>
    <t>C. QUY ƯỚC LẬP TRÌNH (DEFINITION OF DONE)</t>
  </si>
  <si>
    <t>Tiêu chí</t>
  </si>
  <si>
    <t>Đạt</t>
  </si>
  <si>
    <t>Code theo coding convention dự án</t>
  </si>
  <si>
    <t>Đã viết/cập nhật test liên quan</t>
  </si>
  <si>
    <t>Đã chạy lint &amp; format</t>
  </si>
  <si>
    <t>Không commit secret/.env</t>
  </si>
  <si>
    <t>Đã code review &amp; approve PR</t>
  </si>
  <si>
    <t>Cập nhật tài liệu/README nếu cần</t>
  </si>
  <si>
    <t>BƯỚC 5 — TEST CASE / UNIT TEST  (GIAI ĐOẠN HIỆN TẠI)</t>
  </si>
  <si>
    <t>#485 Test case module Docs (Done 11/06) • #486 Unit case with docs (Open, đến 01/07) — Tester: Nguyễn Đức Khánh, 3 bộ hồ sơ • Go-live 09/07/2026</t>
  </si>
  <si>
    <t>A0. BỘ HỒ SƠ KIỂM THỬ (3 BỘ ĐÃ UPLOAD)</t>
  </si>
  <si>
    <t>Bộ</t>
  </si>
  <si>
    <t>Tên hồ sơ / Đương đơn</t>
  </si>
  <si>
    <t>Loại form</t>
  </si>
  <si>
    <t>Giấy tờ đã upload</t>
  </si>
  <si>
    <t>Tester</t>
  </si>
  <si>
    <t>Tiến độ</t>
  </si>
  <si>
    <t>Kết quả</t>
  </si>
  <si>
    <t>Bộ 1</t>
  </si>
  <si>
    <t>________________</t>
  </si>
  <si>
    <t>DS-160</t>
  </si>
  <si>
    <t>Passport, visa, I-20...</t>
  </si>
  <si>
    <t>Đang test</t>
  </si>
  <si>
    <t>Chưa test</t>
  </si>
  <si>
    <t>Bộ 2</t>
  </si>
  <si>
    <t>I-539</t>
  </si>
  <si>
    <t>Passport, I-94...</t>
  </si>
  <si>
    <t>Bộ 3</t>
  </si>
  <si>
    <t>DS-260</t>
  </si>
  <si>
    <t>Hồ sơ gia đình...</t>
  </si>
  <si>
    <t>A. CA KIỂM THỬ (TEST CASES)</t>
  </si>
  <si>
    <t>Mã TC</t>
  </si>
  <si>
    <t>UC/YC</t>
  </si>
  <si>
    <t>Tiêu đề</t>
  </si>
  <si>
    <t>Tiền điều kiện</t>
  </si>
  <si>
    <t>Các bước thực hiện</t>
  </si>
  <si>
    <t>Kết quả mong đợi</t>
  </si>
  <si>
    <t>Kết quả thực tế</t>
  </si>
  <si>
    <t>Người test</t>
  </si>
  <si>
    <t>TC-01</t>
  </si>
  <si>
    <t>Đăng ký thành công</t>
  </si>
  <si>
    <t>Chưa có tài khoản</t>
  </si>
  <si>
    <t>1.Mở /register 2.Nhập email,mk 3.Submit</t>
  </si>
  <si>
    <t>email mới hợp lệ</t>
  </si>
  <si>
    <t>Tạo tài khoản, chuyển login</t>
  </si>
  <si>
    <t>TC-02</t>
  </si>
  <si>
    <t>Đăng nhập sai mật khẩu</t>
  </si>
  <si>
    <t>Đã có tài khoản</t>
  </si>
  <si>
    <t>1.Mở /login 2.Nhập sai mk 3.Submit</t>
  </si>
  <si>
    <t>mật khẩu sai</t>
  </si>
  <si>
    <t>Báo lỗi, không cấp token</t>
  </si>
  <si>
    <t>TC-03</t>
  </si>
  <si>
    <t>Upload file hợp lệ</t>
  </si>
  <si>
    <t>Đã đăng nhập</t>
  </si>
  <si>
    <t>1.Mở /upload 2.Chọn passport.pdf 3.Upload</t>
  </si>
  <si>
    <t>passport.pdf</t>
  </si>
  <si>
    <t>Lưu file, hiện trong danh sách</t>
  </si>
  <si>
    <t>TC-04</t>
  </si>
  <si>
    <t>Upload sai định dạng</t>
  </si>
  <si>
    <t>1.Chọn file .exe 2.Upload</t>
  </si>
  <si>
    <t>file.exe</t>
  </si>
  <si>
    <t>Báo lỗi định dạng</t>
  </si>
  <si>
    <t>TC-05</t>
  </si>
  <si>
    <t>Trích xuất dữ liệu</t>
  </si>
  <si>
    <t>Đã upload giấy tờ</t>
  </si>
  <si>
    <t>1.Chạy pipeline OCR</t>
  </si>
  <si>
    <t>passport mẫu</t>
  </si>
  <si>
    <t>Field chính được trích đúng</t>
  </si>
  <si>
    <t>TC-06</t>
  </si>
  <si>
    <t>Demo mode khi thiếu API key</t>
  </si>
  <si>
    <t>Không có OPENAI_API_KEY</t>
  </si>
  <si>
    <t>1.Upload 2.Xử lý</t>
  </si>
  <si>
    <t>tên file mẫu</t>
  </si>
  <si>
    <t>Dùng dữ liệu demo, không crash</t>
  </si>
  <si>
    <t>TC-07</t>
  </si>
  <si>
    <t>Sửa field &amp; duyệt</t>
  </si>
  <si>
    <t>Có profile merge</t>
  </si>
  <si>
    <t>1.Mở /review 2.Sửa field 3.Approve</t>
  </si>
  <si>
    <t>field xung đột</t>
  </si>
  <si>
    <t>Lưu thay đổi, status=approved</t>
  </si>
  <si>
    <t>TC-08</t>
  </si>
  <si>
    <t>Hồ sơ đã duyệt</t>
  </si>
  <si>
    <t>1.Bấm Export</t>
  </si>
  <si>
    <t>DS-160 worksheet</t>
  </si>
  <si>
    <t>Tải file Word đúng template</t>
  </si>
  <si>
    <t>B. NHẬT KÝ LỖI (BUG LOG)</t>
  </si>
  <si>
    <t>Mã lỗi</t>
  </si>
  <si>
    <t>TC liên quan</t>
  </si>
  <si>
    <t>Mô tả lỗi</t>
  </si>
  <si>
    <t>Bước tái hiện</t>
  </si>
  <si>
    <t>Môi trường</t>
  </si>
  <si>
    <t>Người báo</t>
  </si>
  <si>
    <t>Người sửa</t>
  </si>
  <si>
    <t>Ngày</t>
  </si>
  <si>
    <t>BUG-01</t>
  </si>
  <si>
    <t>Dev</t>
  </si>
  <si>
    <t>BUG-02</t>
  </si>
  <si>
    <t>BUG-03</t>
  </si>
  <si>
    <t>C. TỔNG HỢP KẾT QUẢ (TỰ ĐỘNG TÍNH)</t>
  </si>
  <si>
    <t>Chỉ số</t>
  </si>
  <si>
    <t>Giá trị</t>
  </si>
  <si>
    <t>Tổng số test case</t>
  </si>
  <si>
    <t>Số Đạt</t>
  </si>
  <si>
    <t>Số Không đạt</t>
  </si>
  <si>
    <t>Số chưa test</t>
  </si>
  <si>
    <t>Tỷ lệ pass</t>
  </si>
  <si>
    <t>Số bug đang mở</t>
  </si>
  <si>
    <t>BƯỚC 6 — DEPLOY LÊN PRODUCT  •  Ticket #487 (09/07/2026)</t>
  </si>
  <si>
    <t>Đưa lên môi trường product (Docker, HTTPS port 2026) — phụ trách: Trần Minh Triết, duyệt: Nguyễn Nhân Trọng</t>
  </si>
  <si>
    <t>A. CHUẨN BỊ MÔI TRƯỜNG</t>
  </si>
  <si>
    <t>Chi tiết / Lệnh</t>
  </si>
  <si>
    <t>Server &amp; truy cập</t>
  </si>
  <si>
    <t>SSH, mở port 2026, firewall</t>
  </si>
  <si>
    <t>Cài Docker trên server</t>
  </si>
  <si>
    <t>docker, docker compose</t>
  </si>
  <si>
    <t>Domain &amp; DNS</t>
  </si>
  <si>
    <t>Trỏ DOMAIN về server</t>
  </si>
  <si>
    <t>Chứng chỉ TLS</t>
  </si>
  <si>
    <t>Caddy tự cấp / self-signed</t>
  </si>
  <si>
    <t>B. CẤU HÌNH &amp; BÍ MẬT</t>
  </si>
  <si>
    <t>Tạo .env.production</t>
  </si>
  <si>
    <t>copy .env.production.example .env.production</t>
  </si>
  <si>
    <t>Đặt SECRET_KEY</t>
  </si>
  <si>
    <t>Chuỗi mạnh, duy nhất</t>
  </si>
  <si>
    <t>POSTGRES_PASSWORD</t>
  </si>
  <si>
    <t>Mật khẩu DB production</t>
  </si>
  <si>
    <t>DOMAIN + OPENAI_API_KEY</t>
  </si>
  <si>
    <t>Điền giá trị thật</t>
  </si>
  <si>
    <t>C. TRIỂN KHAI</t>
  </si>
  <si>
    <t>Build &amp; up stack</t>
  </si>
  <si>
    <t>docker compose -f docker-compose.prod.yml --env-file .env.production up -d --build</t>
  </si>
  <si>
    <t>05/07/2026</t>
  </si>
  <si>
    <t>Ticket #487</t>
  </si>
  <si>
    <t>Migrate database</t>
  </si>
  <si>
    <t>Chạy migration/khởi tạo schema</t>
  </si>
  <si>
    <t>Kiểm tra container</t>
  </si>
  <si>
    <t>docker compose ps / logs</t>
  </si>
  <si>
    <t>Smoke test HTTPS</t>
  </si>
  <si>
    <t>https://DOMAIN:2026, /health</t>
  </si>
  <si>
    <t>D. SAO LƯU &amp; GIÁM SÁT</t>
  </si>
  <si>
    <t>Backup DB &amp; uploads/exports</t>
  </si>
  <si>
    <t>Lịch backup định kỳ</t>
  </si>
  <si>
    <t>Log &amp; monitoring</t>
  </si>
  <si>
    <t>Theo dõi log, lỗi, tài nguyên</t>
  </si>
  <si>
    <t>Kế hoạch rollback</t>
  </si>
  <si>
    <t>Quay lại bản trước nếu lỗi</t>
  </si>
  <si>
    <t>BƯỚC 7 — GO-LIVE  (DỰ KIẾN 09/07/2026)</t>
  </si>
  <si>
    <t>Phát hành chính thức, nghiệm thu, bàn giao &amp; theo dõi sau go-live</t>
  </si>
  <si>
    <t>A. ĐIỀU KIỆN GO-LIVE (GO/NO-GO CHECKLIST)</t>
  </si>
  <si>
    <t>Tiêu chí / Hành động</t>
  </si>
  <si>
    <t>Test pass đạt ngưỡng</t>
  </si>
  <si>
    <t>Không còn bug nghiêm trọng/cao</t>
  </si>
  <si>
    <t>07/07/2026</t>
  </si>
  <si>
    <t>Hoàn tất sửa lỗi</t>
  </si>
  <si>
    <t>Nghiệm thu UAT</t>
  </si>
  <si>
    <t>Khách hàng/ban dự án ký xác nhận</t>
  </si>
  <si>
    <t>04/07/2026</t>
  </si>
  <si>
    <t>Backup &amp; rollback sẵn sàng</t>
  </si>
  <si>
    <t>Đã kiểm chứng</t>
  </si>
  <si>
    <t>Bảo mật &amp; secrets</t>
  </si>
  <si>
    <t>Đã rà soát, không lộ</t>
  </si>
  <si>
    <t>Quyết định Go/No-Go</t>
  </si>
  <si>
    <t>Phó TGĐ phê duyệt</t>
  </si>
  <si>
    <t>Nguyễn Nhân Trọng</t>
  </si>
  <si>
    <t>Người duyệt dự án</t>
  </si>
  <si>
    <t>B. PHÁT HÀNH</t>
  </si>
  <si>
    <t>Công bố phiên bản</t>
  </si>
  <si>
    <t>Tag version, release note</t>
  </si>
  <si>
    <t>06/07/2026</t>
  </si>
  <si>
    <t>Bật truy cập người dùng</t>
  </si>
  <si>
    <t>Mở cho user thật</t>
  </si>
  <si>
    <t>Ngày Go-live</t>
  </si>
  <si>
    <t>Thông báo các bên</t>
  </si>
  <si>
    <t>Khách hàng, nội bộ</t>
  </si>
  <si>
    <t>Theo dõi nóng 24-48h</t>
  </si>
  <si>
    <t>Trực giám sát log/lỗi</t>
  </si>
  <si>
    <t>06-08/07/2026</t>
  </si>
  <si>
    <t>C. BÀN GIAO &amp; TÀI LIỆU</t>
  </si>
  <si>
    <t>Tài liệu hướng dẫn sử dụng</t>
  </si>
  <si>
    <t>Bàn giao khách hàng</t>
  </si>
  <si>
    <t>Tài liệu vận hành</t>
  </si>
  <si>
    <t>Hướng dẫn deploy/backup</t>
  </si>
  <si>
    <t>Đào tạo người dùng</t>
  </si>
  <si>
    <t>Buổi hướng dẫn</t>
  </si>
  <si>
    <t>D. SAU GO-LIVE (HYPERCARE)</t>
  </si>
  <si>
    <t>Theo dõi &amp; hỗ trợ</t>
  </si>
  <si>
    <t>Khắc phục lỗi phát sinh</t>
  </si>
  <si>
    <t>Thu thập phản hồi</t>
  </si>
  <si>
    <t>Ghi nhận cải tiến</t>
  </si>
  <si>
    <t>Tổng kết dự án</t>
  </si>
  <si>
    <t>Bài học kinh nghiệm</t>
  </si>
  <si>
    <t>Nguyễn Đức Khánh, Phạm Thị Hải Vân, Đoàn Văn 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</si>
</sst>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C55A1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indent="1"/>
    </xf>
    <xf numFmtId="0" fontId="0" fillId="0" borderId="0" xfId="0"/>
    <xf numFmtId="0" fontId="5" fillId="0" borderId="1" xfId="0" applyFont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9"/>
  <sheetViews>
    <sheetView showGridLines="0" tabSelected="1" zoomScale="80" zoomScaleNormal="80" workbookViewId="0">
      <pane ySplit="28" topLeftCell="A52" activePane="bottomLeft" state="frozen"/>
      <selection pane="bottomLeft" activeCell="L14" sqref="L14"/>
    </sheetView>
  </sheetViews>
  <sheetFormatPr defaultRowHeight="15" x14ac:dyDescent="0.25"/>
  <cols>
    <col min="1" max="1" width="8" customWidth="1"/>
    <col min="2" max="2" width="30" customWidth="1"/>
    <col min="3" max="3" width="16" customWidth="1"/>
    <col min="4" max="4" width="24" customWidth="1"/>
    <col min="5" max="5" width="18" customWidth="1"/>
  </cols>
  <sheetData>
    <row r="2" spans="2:5" ht="27.95" customHeight="1" x14ac:dyDescent="0.25">
      <c r="B2" s="17" t="s">
        <v>0</v>
      </c>
      <c r="C2" s="10"/>
      <c r="D2" s="10"/>
      <c r="E2" s="10"/>
    </row>
    <row r="3" spans="2:5" ht="27.95" customHeight="1" x14ac:dyDescent="0.25">
      <c r="B3" s="10"/>
      <c r="C3" s="10"/>
      <c r="D3" s="10"/>
      <c r="E3" s="10"/>
    </row>
    <row r="4" spans="2:5" ht="21.95" customHeight="1" x14ac:dyDescent="0.25">
      <c r="B4" s="16" t="s">
        <v>1</v>
      </c>
      <c r="C4" s="10"/>
      <c r="D4" s="10"/>
      <c r="E4" s="10"/>
    </row>
    <row r="6" spans="2:5" x14ac:dyDescent="0.25">
      <c r="B6" s="1" t="s">
        <v>2</v>
      </c>
      <c r="C6" s="14" t="s">
        <v>3</v>
      </c>
      <c r="D6" s="12"/>
      <c r="E6" s="13"/>
    </row>
    <row r="7" spans="2:5" x14ac:dyDescent="0.25">
      <c r="B7" s="1" t="s">
        <v>4</v>
      </c>
      <c r="C7" s="14" t="s">
        <v>5</v>
      </c>
      <c r="D7" s="12"/>
      <c r="E7" s="13"/>
    </row>
    <row r="8" spans="2:5" x14ac:dyDescent="0.25">
      <c r="B8" s="1" t="s">
        <v>6</v>
      </c>
      <c r="C8" s="14" t="s">
        <v>7</v>
      </c>
      <c r="D8" s="12"/>
      <c r="E8" s="13"/>
    </row>
    <row r="9" spans="2:5" x14ac:dyDescent="0.25">
      <c r="B9" s="1" t="s">
        <v>8</v>
      </c>
      <c r="C9" s="14" t="s">
        <v>9</v>
      </c>
      <c r="D9" s="12"/>
      <c r="E9" s="13"/>
    </row>
    <row r="10" spans="2:5" x14ac:dyDescent="0.25">
      <c r="B10" s="1" t="s">
        <v>10</v>
      </c>
      <c r="C10" s="14" t="s">
        <v>595</v>
      </c>
      <c r="D10" s="12"/>
      <c r="E10" s="13"/>
    </row>
    <row r="11" spans="2:5" x14ac:dyDescent="0.25">
      <c r="B11" s="1" t="s">
        <v>12</v>
      </c>
      <c r="C11" s="14" t="s">
        <v>13</v>
      </c>
      <c r="D11" s="12"/>
      <c r="E11" s="13"/>
    </row>
    <row r="12" spans="2:5" x14ac:dyDescent="0.25">
      <c r="B12" s="1" t="s">
        <v>14</v>
      </c>
      <c r="C12" s="11" t="s">
        <v>15</v>
      </c>
      <c r="D12" s="12"/>
      <c r="E12" s="13"/>
    </row>
    <row r="13" spans="2:5" x14ac:dyDescent="0.25">
      <c r="B13" s="1" t="s">
        <v>16</v>
      </c>
      <c r="C13" s="11" t="s">
        <v>17</v>
      </c>
      <c r="D13" s="12"/>
      <c r="E13" s="13"/>
    </row>
    <row r="14" spans="2:5" x14ac:dyDescent="0.25">
      <c r="B14" s="1" t="s">
        <v>18</v>
      </c>
      <c r="C14" s="11" t="s">
        <v>19</v>
      </c>
      <c r="D14" s="12"/>
      <c r="E14" s="13"/>
    </row>
    <row r="15" spans="2:5" x14ac:dyDescent="0.25">
      <c r="B15" s="1" t="s">
        <v>20</v>
      </c>
      <c r="C15" s="14" t="s">
        <v>21</v>
      </c>
      <c r="D15" s="12"/>
      <c r="E15" s="13"/>
    </row>
    <row r="17" spans="1:5" ht="21.95" customHeight="1" x14ac:dyDescent="0.25">
      <c r="A17" s="15" t="s">
        <v>22</v>
      </c>
      <c r="B17" s="10"/>
      <c r="C17" s="10"/>
      <c r="D17" s="10"/>
      <c r="E17" s="10"/>
    </row>
    <row r="18" spans="1:5" ht="26.1" customHeight="1" x14ac:dyDescent="0.25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</row>
    <row r="19" spans="1:5" x14ac:dyDescent="0.25">
      <c r="A19" s="3" t="s">
        <v>28</v>
      </c>
      <c r="B19" s="3" t="s">
        <v>29</v>
      </c>
      <c r="C19" s="3" t="s">
        <v>30</v>
      </c>
      <c r="D19" s="3" t="s">
        <v>31</v>
      </c>
      <c r="E19" s="3" t="s">
        <v>32</v>
      </c>
    </row>
    <row r="20" spans="1:5" ht="25.5" x14ac:dyDescent="0.25">
      <c r="A20" s="4" t="s">
        <v>33</v>
      </c>
      <c r="B20" s="4" t="s">
        <v>34</v>
      </c>
      <c r="C20" s="4" t="s">
        <v>35</v>
      </c>
      <c r="D20" s="4" t="s">
        <v>36</v>
      </c>
      <c r="E20" s="4" t="s">
        <v>32</v>
      </c>
    </row>
    <row r="21" spans="1:5" x14ac:dyDescent="0.25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32</v>
      </c>
    </row>
    <row r="22" spans="1:5" x14ac:dyDescent="0.25">
      <c r="A22" s="4" t="s">
        <v>41</v>
      </c>
      <c r="B22" s="4" t="s">
        <v>42</v>
      </c>
      <c r="C22" s="4" t="s">
        <v>43</v>
      </c>
      <c r="D22" s="4" t="s">
        <v>44</v>
      </c>
      <c r="E22" s="4" t="s">
        <v>32</v>
      </c>
    </row>
    <row r="23" spans="1:5" x14ac:dyDescent="0.25">
      <c r="A23" s="3" t="s">
        <v>45</v>
      </c>
      <c r="B23" s="3" t="s">
        <v>46</v>
      </c>
      <c r="C23" s="3" t="s">
        <v>47</v>
      </c>
      <c r="D23" s="3" t="s">
        <v>48</v>
      </c>
      <c r="E23" s="3" t="s">
        <v>32</v>
      </c>
    </row>
    <row r="24" spans="1:5" ht="25.5" x14ac:dyDescent="0.25">
      <c r="A24" s="4" t="s">
        <v>49</v>
      </c>
      <c r="B24" s="4" t="s">
        <v>50</v>
      </c>
      <c r="C24" s="4" t="s">
        <v>51</v>
      </c>
      <c r="D24" s="4" t="s">
        <v>52</v>
      </c>
      <c r="E24" s="4" t="s">
        <v>32</v>
      </c>
    </row>
    <row r="25" spans="1:5" x14ac:dyDescent="0.25">
      <c r="A25" s="3" t="s">
        <v>53</v>
      </c>
      <c r="B25" s="3" t="s">
        <v>54</v>
      </c>
      <c r="C25" s="3" t="s">
        <v>55</v>
      </c>
      <c r="D25" s="3" t="s">
        <v>56</v>
      </c>
      <c r="E25" s="3" t="s">
        <v>57</v>
      </c>
    </row>
    <row r="26" spans="1:5" x14ac:dyDescent="0.25">
      <c r="A26" s="3" t="s">
        <v>58</v>
      </c>
      <c r="B26" s="3" t="s">
        <v>59</v>
      </c>
      <c r="C26" s="3" t="s">
        <v>60</v>
      </c>
      <c r="D26" s="3" t="s">
        <v>61</v>
      </c>
      <c r="E26" s="3" t="s">
        <v>57</v>
      </c>
    </row>
    <row r="27" spans="1:5" x14ac:dyDescent="0.25">
      <c r="A27" s="3" t="s">
        <v>62</v>
      </c>
      <c r="B27" s="3" t="s">
        <v>16</v>
      </c>
      <c r="C27" s="3" t="s">
        <v>63</v>
      </c>
      <c r="D27" s="3" t="s">
        <v>64</v>
      </c>
      <c r="E27" s="3" t="s">
        <v>57</v>
      </c>
    </row>
    <row r="28" spans="1:5" ht="21.95" customHeight="1" x14ac:dyDescent="0.25"/>
    <row r="29" spans="1:5" ht="26.1" customHeight="1" x14ac:dyDescent="0.25">
      <c r="A29" s="9" t="s">
        <v>65</v>
      </c>
      <c r="B29" s="10"/>
      <c r="C29" s="10"/>
      <c r="D29" s="10"/>
      <c r="E29" s="10"/>
    </row>
    <row r="30" spans="1:5" x14ac:dyDescent="0.25">
      <c r="A30" s="5" t="s">
        <v>66</v>
      </c>
      <c r="B30" s="5" t="s">
        <v>67</v>
      </c>
      <c r="C30" s="5" t="s">
        <v>23</v>
      </c>
      <c r="D30" s="5" t="s">
        <v>68</v>
      </c>
      <c r="E30" s="5" t="s">
        <v>27</v>
      </c>
    </row>
    <row r="31" spans="1:5" x14ac:dyDescent="0.25">
      <c r="A31" s="3" t="s">
        <v>69</v>
      </c>
      <c r="B31" s="3" t="s">
        <v>70</v>
      </c>
      <c r="C31" s="3" t="s">
        <v>28</v>
      </c>
      <c r="D31" s="3" t="s">
        <v>71</v>
      </c>
      <c r="E31" s="3" t="s">
        <v>32</v>
      </c>
    </row>
    <row r="32" spans="1:5" x14ac:dyDescent="0.25">
      <c r="A32" s="4" t="s">
        <v>72</v>
      </c>
      <c r="B32" s="4" t="s">
        <v>73</v>
      </c>
      <c r="C32" s="4" t="s">
        <v>33</v>
      </c>
      <c r="D32" s="4" t="s">
        <v>74</v>
      </c>
      <c r="E32" s="4" t="s">
        <v>32</v>
      </c>
    </row>
    <row r="33" spans="1:5" x14ac:dyDescent="0.25">
      <c r="A33" s="3" t="s">
        <v>75</v>
      </c>
      <c r="B33" s="3" t="s">
        <v>76</v>
      </c>
      <c r="C33" s="3" t="s">
        <v>37</v>
      </c>
      <c r="D33" s="3" t="s">
        <v>77</v>
      </c>
      <c r="E33" s="3" t="s">
        <v>32</v>
      </c>
    </row>
    <row r="34" spans="1:5" x14ac:dyDescent="0.25">
      <c r="A34" s="4" t="s">
        <v>78</v>
      </c>
      <c r="B34" s="4" t="s">
        <v>79</v>
      </c>
      <c r="C34" s="4" t="s">
        <v>80</v>
      </c>
      <c r="D34" s="4" t="s">
        <v>81</v>
      </c>
      <c r="E34" s="4" t="s">
        <v>32</v>
      </c>
    </row>
    <row r="35" spans="1:5" x14ac:dyDescent="0.25">
      <c r="A35" s="3" t="s">
        <v>82</v>
      </c>
      <c r="B35" s="3" t="s">
        <v>83</v>
      </c>
      <c r="C35" s="3" t="s">
        <v>49</v>
      </c>
      <c r="D35" s="3" t="s">
        <v>84</v>
      </c>
      <c r="E35" s="3" t="s">
        <v>85</v>
      </c>
    </row>
    <row r="36" spans="1:5" x14ac:dyDescent="0.25">
      <c r="A36" s="3" t="s">
        <v>86</v>
      </c>
      <c r="B36" s="3" t="s">
        <v>87</v>
      </c>
      <c r="C36" s="3" t="s">
        <v>53</v>
      </c>
      <c r="D36" s="3" t="s">
        <v>88</v>
      </c>
      <c r="E36" s="3" t="s">
        <v>57</v>
      </c>
    </row>
    <row r="37" spans="1:5" x14ac:dyDescent="0.25">
      <c r="A37" s="3" t="s">
        <v>89</v>
      </c>
      <c r="B37" s="3" t="s">
        <v>59</v>
      </c>
      <c r="C37" s="3" t="s">
        <v>58</v>
      </c>
      <c r="D37" s="3" t="s">
        <v>90</v>
      </c>
      <c r="E37" s="3" t="s">
        <v>57</v>
      </c>
    </row>
    <row r="38" spans="1:5" x14ac:dyDescent="0.25">
      <c r="A38" s="4" t="s">
        <v>91</v>
      </c>
      <c r="B38" s="4" t="s">
        <v>92</v>
      </c>
      <c r="C38" s="4" t="s">
        <v>62</v>
      </c>
      <c r="D38" s="4" t="s">
        <v>19</v>
      </c>
      <c r="E38" s="4" t="s">
        <v>57</v>
      </c>
    </row>
    <row r="39" spans="1:5" x14ac:dyDescent="0.25">
      <c r="A39" s="3" t="s">
        <v>93</v>
      </c>
      <c r="B39" s="3" t="s">
        <v>94</v>
      </c>
      <c r="C39" s="3" t="s">
        <v>95</v>
      </c>
      <c r="D39" s="3" t="s">
        <v>19</v>
      </c>
      <c r="E39" s="3" t="s">
        <v>57</v>
      </c>
    </row>
  </sheetData>
  <mergeCells count="14">
    <mergeCell ref="C10:E10"/>
    <mergeCell ref="B4:E4"/>
    <mergeCell ref="C8:E8"/>
    <mergeCell ref="C9:E9"/>
    <mergeCell ref="C7:E7"/>
    <mergeCell ref="B2:E3"/>
    <mergeCell ref="C6:E6"/>
    <mergeCell ref="A29:E29"/>
    <mergeCell ref="C14:E14"/>
    <mergeCell ref="C11:E11"/>
    <mergeCell ref="A17:E17"/>
    <mergeCell ref="C13:E13"/>
    <mergeCell ref="C15:E15"/>
    <mergeCell ref="C12:E12"/>
  </mergeCells>
  <dataValidations count="1">
    <dataValidation type="list" allowBlank="1" sqref="E19:E26 E30:E36" xr:uid="{00000000-0002-0000-0000-000000000000}">
      <formula1>"Chưa bắt đầu,Đang làm,Chờ duyệt,Hoàn thành,Bị chặn,Bỏ qua"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26" customWidth="1"/>
    <col min="3" max="3" width="50" customWidth="1"/>
    <col min="4" max="4" width="18" customWidth="1"/>
    <col min="5" max="5" width="12" customWidth="1"/>
    <col min="6" max="6" width="16" customWidth="1"/>
    <col min="7" max="7" width="26" customWidth="1"/>
  </cols>
  <sheetData>
    <row r="1" spans="1:7" ht="33.950000000000003" customHeight="1" x14ac:dyDescent="0.25">
      <c r="A1" s="19" t="s">
        <v>96</v>
      </c>
      <c r="B1" s="10"/>
      <c r="C1" s="10"/>
      <c r="D1" s="10"/>
      <c r="E1" s="10"/>
      <c r="F1" s="10"/>
      <c r="G1" s="10"/>
    </row>
    <row r="2" spans="1:7" ht="20.100000000000001" customHeight="1" x14ac:dyDescent="0.25">
      <c r="A2" s="20" t="s">
        <v>97</v>
      </c>
      <c r="B2" s="10"/>
      <c r="C2" s="10"/>
      <c r="D2" s="10"/>
      <c r="E2" s="10"/>
      <c r="F2" s="10"/>
      <c r="G2" s="10"/>
    </row>
    <row r="4" spans="1:7" ht="21.95" customHeight="1" x14ac:dyDescent="0.25">
      <c r="A4" s="18" t="s">
        <v>98</v>
      </c>
      <c r="B4" s="10"/>
      <c r="C4" s="10"/>
      <c r="D4" s="10"/>
      <c r="E4" s="10"/>
      <c r="F4" s="10"/>
      <c r="G4" s="10"/>
    </row>
    <row r="5" spans="1:7" ht="26.1" customHeight="1" x14ac:dyDescent="0.25">
      <c r="A5" s="2" t="s">
        <v>99</v>
      </c>
      <c r="B5" s="2" t="s">
        <v>100</v>
      </c>
      <c r="C5" s="2" t="s">
        <v>101</v>
      </c>
      <c r="D5" s="2" t="s">
        <v>102</v>
      </c>
      <c r="E5" s="2" t="s">
        <v>103</v>
      </c>
      <c r="F5" s="2" t="s">
        <v>27</v>
      </c>
      <c r="G5" s="2" t="s">
        <v>104</v>
      </c>
    </row>
    <row r="6" spans="1:7" x14ac:dyDescent="0.25">
      <c r="A6" s="3" t="s">
        <v>69</v>
      </c>
      <c r="B6" s="3" t="s">
        <v>105</v>
      </c>
      <c r="C6" s="3" t="s">
        <v>106</v>
      </c>
      <c r="D6" s="3" t="s">
        <v>107</v>
      </c>
      <c r="E6" s="3" t="s">
        <v>71</v>
      </c>
      <c r="F6" s="3" t="s">
        <v>32</v>
      </c>
      <c r="G6" s="3"/>
    </row>
    <row r="7" spans="1:7" x14ac:dyDescent="0.25">
      <c r="A7" s="4" t="s">
        <v>72</v>
      </c>
      <c r="B7" s="4" t="s">
        <v>108</v>
      </c>
      <c r="C7" s="4" t="s">
        <v>109</v>
      </c>
      <c r="D7" s="4" t="s">
        <v>107</v>
      </c>
      <c r="E7" s="4" t="s">
        <v>71</v>
      </c>
      <c r="F7" s="4" t="s">
        <v>32</v>
      </c>
      <c r="G7" s="4"/>
    </row>
    <row r="8" spans="1:7" x14ac:dyDescent="0.25">
      <c r="A8" s="3" t="s">
        <v>75</v>
      </c>
      <c r="B8" s="3" t="s">
        <v>110</v>
      </c>
      <c r="C8" s="3" t="s">
        <v>111</v>
      </c>
      <c r="D8" s="3" t="s">
        <v>107</v>
      </c>
      <c r="E8" s="3" t="s">
        <v>71</v>
      </c>
      <c r="F8" s="3" t="s">
        <v>32</v>
      </c>
      <c r="G8" s="3"/>
    </row>
    <row r="9" spans="1:7" x14ac:dyDescent="0.25">
      <c r="A9" s="4" t="s">
        <v>78</v>
      </c>
      <c r="B9" s="4" t="s">
        <v>112</v>
      </c>
      <c r="C9" s="4" t="s">
        <v>113</v>
      </c>
      <c r="D9" s="4" t="s">
        <v>107</v>
      </c>
      <c r="E9" s="4" t="s">
        <v>71</v>
      </c>
      <c r="F9" s="4" t="s">
        <v>32</v>
      </c>
      <c r="G9" s="4"/>
    </row>
    <row r="10" spans="1:7" x14ac:dyDescent="0.25">
      <c r="A10" s="3" t="s">
        <v>82</v>
      </c>
      <c r="B10" s="3" t="s">
        <v>114</v>
      </c>
      <c r="C10" s="3" t="s">
        <v>115</v>
      </c>
      <c r="D10" s="3" t="s">
        <v>107</v>
      </c>
      <c r="E10" s="3" t="s">
        <v>71</v>
      </c>
      <c r="F10" s="3" t="s">
        <v>32</v>
      </c>
      <c r="G10" s="3"/>
    </row>
    <row r="12" spans="1:7" ht="21.95" customHeight="1" x14ac:dyDescent="0.25">
      <c r="A12" s="18" t="s">
        <v>116</v>
      </c>
      <c r="B12" s="10"/>
      <c r="C12" s="10"/>
      <c r="D12" s="10"/>
      <c r="E12" s="10"/>
      <c r="F12" s="10"/>
      <c r="G12" s="10"/>
    </row>
    <row r="13" spans="1:7" ht="26.1" customHeight="1" x14ac:dyDescent="0.25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27</v>
      </c>
      <c r="G13" s="2" t="s">
        <v>104</v>
      </c>
    </row>
    <row r="14" spans="1:7" x14ac:dyDescent="0.25">
      <c r="A14" s="3" t="s">
        <v>86</v>
      </c>
      <c r="B14" s="3" t="s">
        <v>117</v>
      </c>
      <c r="C14" s="3" t="s">
        <v>118</v>
      </c>
      <c r="D14" s="3" t="s">
        <v>107</v>
      </c>
      <c r="E14" s="3" t="s">
        <v>71</v>
      </c>
      <c r="F14" s="3" t="s">
        <v>32</v>
      </c>
      <c r="G14" s="3"/>
    </row>
    <row r="15" spans="1:7" x14ac:dyDescent="0.25">
      <c r="A15" s="4" t="s">
        <v>89</v>
      </c>
      <c r="B15" s="4" t="s">
        <v>119</v>
      </c>
      <c r="C15" s="4" t="s">
        <v>120</v>
      </c>
      <c r="D15" s="4" t="s">
        <v>107</v>
      </c>
      <c r="E15" s="4" t="s">
        <v>71</v>
      </c>
      <c r="F15" s="4" t="s">
        <v>32</v>
      </c>
      <c r="G15" s="4"/>
    </row>
    <row r="16" spans="1:7" x14ac:dyDescent="0.25">
      <c r="A16" s="3" t="s">
        <v>91</v>
      </c>
      <c r="B16" s="3" t="s">
        <v>121</v>
      </c>
      <c r="C16" s="3" t="s">
        <v>122</v>
      </c>
      <c r="D16" s="3" t="s">
        <v>107</v>
      </c>
      <c r="E16" s="3" t="s">
        <v>71</v>
      </c>
      <c r="F16" s="3" t="s">
        <v>32</v>
      </c>
      <c r="G16" s="3"/>
    </row>
    <row r="17" spans="1:7" x14ac:dyDescent="0.25">
      <c r="A17" s="4" t="s">
        <v>93</v>
      </c>
      <c r="B17" s="4" t="s">
        <v>123</v>
      </c>
      <c r="C17" s="4" t="s">
        <v>124</v>
      </c>
      <c r="D17" s="4" t="s">
        <v>107</v>
      </c>
      <c r="E17" s="4" t="s">
        <v>71</v>
      </c>
      <c r="F17" s="4" t="s">
        <v>32</v>
      </c>
      <c r="G17" s="4"/>
    </row>
    <row r="18" spans="1:7" x14ac:dyDescent="0.25">
      <c r="A18" s="3" t="s">
        <v>125</v>
      </c>
      <c r="B18" s="3" t="s">
        <v>126</v>
      </c>
      <c r="C18" s="3" t="s">
        <v>127</v>
      </c>
      <c r="D18" s="3" t="s">
        <v>107</v>
      </c>
      <c r="E18" s="3" t="s">
        <v>71</v>
      </c>
      <c r="F18" s="3" t="s">
        <v>32</v>
      </c>
      <c r="G18" s="3"/>
    </row>
    <row r="19" spans="1:7" x14ac:dyDescent="0.25">
      <c r="A19" s="4" t="s">
        <v>128</v>
      </c>
      <c r="B19" s="4" t="s">
        <v>129</v>
      </c>
      <c r="C19" s="4" t="s">
        <v>130</v>
      </c>
      <c r="D19" s="4" t="s">
        <v>107</v>
      </c>
      <c r="E19" s="4" t="s">
        <v>71</v>
      </c>
      <c r="F19" s="4" t="s">
        <v>32</v>
      </c>
      <c r="G19" s="4"/>
    </row>
    <row r="20" spans="1:7" x14ac:dyDescent="0.25">
      <c r="A20" s="3" t="s">
        <v>131</v>
      </c>
      <c r="B20" s="3" t="s">
        <v>132</v>
      </c>
      <c r="C20" s="3" t="s">
        <v>133</v>
      </c>
      <c r="D20" s="3" t="s">
        <v>107</v>
      </c>
      <c r="E20" s="3" t="s">
        <v>71</v>
      </c>
      <c r="F20" s="3" t="s">
        <v>32</v>
      </c>
      <c r="G20" s="3" t="s">
        <v>134</v>
      </c>
    </row>
    <row r="22" spans="1:7" ht="21.95" customHeight="1" x14ac:dyDescent="0.25">
      <c r="A22" s="18" t="s">
        <v>135</v>
      </c>
      <c r="B22" s="10"/>
      <c r="C22" s="10"/>
      <c r="D22" s="10"/>
      <c r="E22" s="10"/>
      <c r="F22" s="10"/>
      <c r="G22" s="10"/>
    </row>
    <row r="23" spans="1:7" ht="26.1" customHeight="1" x14ac:dyDescent="0.25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27</v>
      </c>
      <c r="G23" s="2" t="s">
        <v>104</v>
      </c>
    </row>
    <row r="24" spans="1:7" x14ac:dyDescent="0.25">
      <c r="A24" s="3" t="s">
        <v>136</v>
      </c>
      <c r="B24" s="3" t="s">
        <v>137</v>
      </c>
      <c r="C24" s="3" t="s">
        <v>138</v>
      </c>
      <c r="D24" s="3" t="s">
        <v>107</v>
      </c>
      <c r="E24" s="3" t="s">
        <v>71</v>
      </c>
      <c r="F24" s="3" t="s">
        <v>32</v>
      </c>
      <c r="G24" s="3" t="s">
        <v>139</v>
      </c>
    </row>
    <row r="25" spans="1:7" x14ac:dyDescent="0.25">
      <c r="A25" s="4" t="s">
        <v>140</v>
      </c>
      <c r="B25" s="4" t="s">
        <v>141</v>
      </c>
      <c r="C25" s="4" t="s">
        <v>142</v>
      </c>
      <c r="D25" s="4" t="s">
        <v>107</v>
      </c>
      <c r="E25" s="4" t="s">
        <v>71</v>
      </c>
      <c r="F25" s="4" t="s">
        <v>32</v>
      </c>
      <c r="G25" s="4"/>
    </row>
    <row r="26" spans="1:7" x14ac:dyDescent="0.25">
      <c r="A26" s="3" t="s">
        <v>143</v>
      </c>
      <c r="B26" s="3" t="s">
        <v>144</v>
      </c>
      <c r="C26" s="3" t="s">
        <v>145</v>
      </c>
      <c r="D26" s="3" t="s">
        <v>107</v>
      </c>
      <c r="E26" s="3" t="s">
        <v>71</v>
      </c>
      <c r="F26" s="3" t="s">
        <v>32</v>
      </c>
      <c r="G26" s="3"/>
    </row>
    <row r="27" spans="1:7" x14ac:dyDescent="0.25">
      <c r="A27" s="4" t="s">
        <v>146</v>
      </c>
      <c r="B27" s="4" t="s">
        <v>147</v>
      </c>
      <c r="C27" s="4" t="s">
        <v>148</v>
      </c>
      <c r="D27" s="4" t="s">
        <v>107</v>
      </c>
      <c r="E27" s="4" t="s">
        <v>71</v>
      </c>
      <c r="F27" s="4" t="s">
        <v>32</v>
      </c>
      <c r="G27" s="4"/>
    </row>
    <row r="29" spans="1:7" ht="21.95" customHeight="1" x14ac:dyDescent="0.25">
      <c r="A29" s="18" t="s">
        <v>149</v>
      </c>
      <c r="B29" s="10"/>
      <c r="C29" s="10"/>
      <c r="D29" s="10"/>
      <c r="E29" s="10"/>
      <c r="F29" s="10"/>
      <c r="G29" s="10"/>
    </row>
    <row r="30" spans="1:7" ht="26.1" customHeight="1" x14ac:dyDescent="0.25">
      <c r="A30" s="2" t="s">
        <v>99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27</v>
      </c>
      <c r="G30" s="2" t="s">
        <v>104</v>
      </c>
    </row>
    <row r="31" spans="1:7" x14ac:dyDescent="0.25">
      <c r="A31" s="3" t="s">
        <v>150</v>
      </c>
      <c r="B31" s="3" t="s">
        <v>151</v>
      </c>
      <c r="C31" s="3" t="s">
        <v>152</v>
      </c>
      <c r="D31" s="3" t="s">
        <v>107</v>
      </c>
      <c r="E31" s="3" t="s">
        <v>71</v>
      </c>
      <c r="F31" s="3" t="s">
        <v>32</v>
      </c>
      <c r="G31" s="3"/>
    </row>
    <row r="32" spans="1:7" x14ac:dyDescent="0.25">
      <c r="A32" s="4" t="s">
        <v>153</v>
      </c>
      <c r="B32" s="4" t="s">
        <v>154</v>
      </c>
      <c r="C32" s="4" t="s">
        <v>155</v>
      </c>
      <c r="D32" s="4" t="s">
        <v>107</v>
      </c>
      <c r="E32" s="4" t="s">
        <v>71</v>
      </c>
      <c r="F32" s="4" t="s">
        <v>32</v>
      </c>
      <c r="G32" s="4"/>
    </row>
    <row r="33" spans="1:7" x14ac:dyDescent="0.25">
      <c r="A33" s="3" t="s">
        <v>156</v>
      </c>
      <c r="B33" s="3" t="s">
        <v>157</v>
      </c>
      <c r="C33" s="3" t="s">
        <v>158</v>
      </c>
      <c r="D33" s="3" t="s">
        <v>107</v>
      </c>
      <c r="E33" s="3" t="s">
        <v>71</v>
      </c>
      <c r="F33" s="3" t="s">
        <v>32</v>
      </c>
      <c r="G33" s="3"/>
    </row>
    <row r="34" spans="1:7" x14ac:dyDescent="0.25">
      <c r="A34" s="4" t="s">
        <v>159</v>
      </c>
      <c r="B34" s="4" t="s">
        <v>160</v>
      </c>
      <c r="C34" s="4" t="s">
        <v>161</v>
      </c>
      <c r="D34" s="4" t="s">
        <v>107</v>
      </c>
      <c r="E34" s="4" t="s">
        <v>71</v>
      </c>
      <c r="F34" s="4" t="s">
        <v>32</v>
      </c>
      <c r="G34" s="4"/>
    </row>
    <row r="36" spans="1:7" ht="21.95" customHeight="1" x14ac:dyDescent="0.25">
      <c r="A36" s="18" t="s">
        <v>162</v>
      </c>
      <c r="B36" s="10"/>
      <c r="C36" s="10"/>
      <c r="D36" s="10"/>
      <c r="E36" s="10"/>
      <c r="F36" s="10"/>
      <c r="G36" s="10"/>
    </row>
    <row r="37" spans="1:7" ht="26.1" customHeight="1" x14ac:dyDescent="0.25">
      <c r="A37" s="6" t="s">
        <v>99</v>
      </c>
      <c r="B37" s="6" t="s">
        <v>163</v>
      </c>
      <c r="C37" s="6" t="s">
        <v>164</v>
      </c>
      <c r="D37" s="6" t="s">
        <v>165</v>
      </c>
      <c r="E37" s="6" t="s">
        <v>166</v>
      </c>
      <c r="F37" s="6" t="s">
        <v>167</v>
      </c>
      <c r="G37" s="6" t="s">
        <v>104</v>
      </c>
    </row>
    <row r="38" spans="1:7" x14ac:dyDescent="0.25">
      <c r="A38" s="3" t="s">
        <v>69</v>
      </c>
      <c r="B38" s="3" t="s">
        <v>168</v>
      </c>
      <c r="C38" s="3" t="s">
        <v>169</v>
      </c>
      <c r="D38" s="3" t="s">
        <v>170</v>
      </c>
      <c r="E38" s="3" t="s">
        <v>171</v>
      </c>
      <c r="F38" s="3" t="s">
        <v>172</v>
      </c>
      <c r="G38" s="3" t="s">
        <v>173</v>
      </c>
    </row>
    <row r="39" spans="1:7" x14ac:dyDescent="0.25">
      <c r="A39" s="4" t="s">
        <v>72</v>
      </c>
      <c r="B39" s="4" t="s">
        <v>174</v>
      </c>
      <c r="C39" s="4" t="s">
        <v>175</v>
      </c>
      <c r="D39" s="4" t="s">
        <v>176</v>
      </c>
      <c r="E39" s="4" t="s">
        <v>177</v>
      </c>
      <c r="F39" s="4" t="s">
        <v>172</v>
      </c>
      <c r="G39" s="4" t="s">
        <v>178</v>
      </c>
    </row>
    <row r="40" spans="1:7" x14ac:dyDescent="0.25">
      <c r="A40" s="3" t="s">
        <v>75</v>
      </c>
      <c r="B40" s="3" t="s">
        <v>179</v>
      </c>
      <c r="C40" s="3" t="s">
        <v>180</v>
      </c>
      <c r="D40" s="3" t="s">
        <v>181</v>
      </c>
      <c r="E40" s="3" t="s">
        <v>182</v>
      </c>
      <c r="F40" s="3" t="s">
        <v>183</v>
      </c>
      <c r="G40" s="3" t="s">
        <v>184</v>
      </c>
    </row>
    <row r="41" spans="1:7" x14ac:dyDescent="0.25">
      <c r="A41" s="4" t="s">
        <v>78</v>
      </c>
      <c r="B41" s="4" t="s">
        <v>185</v>
      </c>
      <c r="C41" s="4" t="s">
        <v>186</v>
      </c>
      <c r="D41" s="4" t="s">
        <v>187</v>
      </c>
      <c r="E41" s="4" t="s">
        <v>188</v>
      </c>
      <c r="F41" s="4" t="s">
        <v>172</v>
      </c>
      <c r="G41" s="4" t="s">
        <v>189</v>
      </c>
    </row>
  </sheetData>
  <mergeCells count="7">
    <mergeCell ref="A36:G36"/>
    <mergeCell ref="A1:G1"/>
    <mergeCell ref="A22:G22"/>
    <mergeCell ref="A12:G12"/>
    <mergeCell ref="A4:G4"/>
    <mergeCell ref="A2:G2"/>
    <mergeCell ref="A29:G29"/>
  </mergeCells>
  <dataValidations count="1">
    <dataValidation type="list" allowBlank="1" sqref="F6:F10 F31:F34 F24:F27 F14:F20" xr:uid="{00000000-0002-0000-0100-000000000000}">
      <formula1>"Chưa bắt đầu,Đang làm,Chờ duyệt,Hoàn thành,Bị chặn,Bỏ qua"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26" customWidth="1"/>
    <col min="3" max="3" width="16" customWidth="1"/>
    <col min="4" max="4" width="30" customWidth="1"/>
    <col min="5" max="5" width="18" customWidth="1"/>
    <col min="6" max="6" width="12" customWidth="1"/>
    <col min="7" max="7" width="14" customWidth="1"/>
    <col min="8" max="8" width="26" customWidth="1"/>
  </cols>
  <sheetData>
    <row r="1" spans="1:8" ht="33.950000000000003" customHeight="1" x14ac:dyDescent="0.25">
      <c r="A1" s="19" t="s">
        <v>190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20" t="s">
        <v>191</v>
      </c>
      <c r="B2" s="10"/>
      <c r="C2" s="10"/>
      <c r="D2" s="10"/>
      <c r="E2" s="10"/>
      <c r="F2" s="10"/>
      <c r="G2" s="10"/>
      <c r="H2" s="10"/>
    </row>
    <row r="4" spans="1:8" ht="21.95" customHeight="1" x14ac:dyDescent="0.25">
      <c r="A4" s="18" t="s">
        <v>192</v>
      </c>
      <c r="B4" s="10"/>
      <c r="C4" s="10"/>
      <c r="D4" s="10"/>
      <c r="E4" s="10"/>
      <c r="F4" s="10"/>
      <c r="G4" s="10"/>
      <c r="H4" s="10"/>
    </row>
    <row r="5" spans="1:8" ht="26.1" customHeight="1" x14ac:dyDescent="0.25">
      <c r="A5" s="2" t="s">
        <v>193</v>
      </c>
      <c r="B5" s="2" t="s">
        <v>194</v>
      </c>
      <c r="C5" s="2" t="s">
        <v>195</v>
      </c>
      <c r="D5" s="2" t="s">
        <v>196</v>
      </c>
      <c r="E5" s="2" t="s">
        <v>197</v>
      </c>
      <c r="F5" s="2" t="s">
        <v>198</v>
      </c>
      <c r="G5" s="2" t="s">
        <v>199</v>
      </c>
      <c r="H5" s="2" t="s">
        <v>27</v>
      </c>
    </row>
    <row r="6" spans="1:8" ht="38.25" x14ac:dyDescent="0.25">
      <c r="A6" s="3" t="s">
        <v>200</v>
      </c>
      <c r="B6" s="3" t="s">
        <v>201</v>
      </c>
      <c r="C6" s="3" t="s">
        <v>202</v>
      </c>
      <c r="D6" s="3" t="s">
        <v>203</v>
      </c>
      <c r="E6" s="3" t="s">
        <v>204</v>
      </c>
      <c r="F6" s="3" t="s">
        <v>205</v>
      </c>
      <c r="G6" s="3" t="s">
        <v>206</v>
      </c>
      <c r="H6" s="3" t="s">
        <v>57</v>
      </c>
    </row>
    <row r="7" spans="1:8" ht="38.25" x14ac:dyDescent="0.25">
      <c r="A7" s="4" t="s">
        <v>207</v>
      </c>
      <c r="B7" s="4" t="s">
        <v>208</v>
      </c>
      <c r="C7" s="4" t="s">
        <v>209</v>
      </c>
      <c r="D7" s="4" t="s">
        <v>203</v>
      </c>
      <c r="E7" s="4" t="s">
        <v>204</v>
      </c>
      <c r="F7" s="4" t="s">
        <v>205</v>
      </c>
      <c r="G7" s="4" t="s">
        <v>210</v>
      </c>
      <c r="H7" s="4" t="s">
        <v>57</v>
      </c>
    </row>
    <row r="8" spans="1:8" ht="38.25" x14ac:dyDescent="0.25">
      <c r="A8" s="3" t="s">
        <v>211</v>
      </c>
      <c r="B8" s="3" t="s">
        <v>212</v>
      </c>
      <c r="C8" s="3" t="s">
        <v>213</v>
      </c>
      <c r="D8" s="3" t="s">
        <v>214</v>
      </c>
      <c r="E8" s="3" t="s">
        <v>204</v>
      </c>
      <c r="F8" s="3" t="s">
        <v>205</v>
      </c>
      <c r="G8" s="3" t="s">
        <v>215</v>
      </c>
      <c r="H8" s="3" t="s">
        <v>57</v>
      </c>
    </row>
    <row r="9" spans="1:8" ht="25.5" x14ac:dyDescent="0.25">
      <c r="A9" s="4" t="s">
        <v>216</v>
      </c>
      <c r="B9" s="4" t="s">
        <v>217</v>
      </c>
      <c r="C9" s="4" t="s">
        <v>218</v>
      </c>
      <c r="D9" s="4" t="s">
        <v>214</v>
      </c>
      <c r="E9" s="4" t="s">
        <v>204</v>
      </c>
      <c r="F9" s="4" t="s">
        <v>205</v>
      </c>
      <c r="G9" s="4" t="s">
        <v>219</v>
      </c>
      <c r="H9" s="4" t="s">
        <v>57</v>
      </c>
    </row>
    <row r="10" spans="1:8" ht="38.25" x14ac:dyDescent="0.25">
      <c r="A10" s="3" t="s">
        <v>220</v>
      </c>
      <c r="B10" s="3" t="s">
        <v>221</v>
      </c>
      <c r="C10" s="3" t="s">
        <v>222</v>
      </c>
      <c r="D10" s="3" t="s">
        <v>203</v>
      </c>
      <c r="E10" s="3" t="s">
        <v>204</v>
      </c>
      <c r="F10" s="3" t="s">
        <v>205</v>
      </c>
      <c r="G10" s="3" t="s">
        <v>223</v>
      </c>
      <c r="H10" s="3" t="s">
        <v>57</v>
      </c>
    </row>
    <row r="11" spans="1:8" ht="25.5" x14ac:dyDescent="0.25">
      <c r="A11" s="4" t="s">
        <v>224</v>
      </c>
      <c r="B11" s="4" t="s">
        <v>225</v>
      </c>
      <c r="C11" s="4" t="s">
        <v>226</v>
      </c>
      <c r="D11" s="4" t="s">
        <v>227</v>
      </c>
      <c r="E11" s="4" t="s">
        <v>228</v>
      </c>
      <c r="F11" s="4" t="s">
        <v>205</v>
      </c>
      <c r="G11" s="4" t="s">
        <v>229</v>
      </c>
      <c r="H11" s="4" t="s">
        <v>57</v>
      </c>
    </row>
    <row r="13" spans="1:8" ht="21.95" customHeight="1" x14ac:dyDescent="0.25">
      <c r="A13" s="18" t="s">
        <v>230</v>
      </c>
      <c r="B13" s="10"/>
      <c r="C13" s="10"/>
      <c r="D13" s="10"/>
      <c r="E13" s="10"/>
      <c r="F13" s="10"/>
      <c r="G13" s="10"/>
      <c r="H13" s="10"/>
    </row>
    <row r="14" spans="1:8" ht="26.1" customHeight="1" x14ac:dyDescent="0.25">
      <c r="A14" s="2" t="s">
        <v>99</v>
      </c>
      <c r="B14" s="2" t="s">
        <v>231</v>
      </c>
      <c r="C14" s="2" t="s">
        <v>197</v>
      </c>
      <c r="D14" s="2" t="s">
        <v>232</v>
      </c>
      <c r="E14" s="2" t="s">
        <v>233</v>
      </c>
      <c r="F14" s="2" t="s">
        <v>234</v>
      </c>
      <c r="G14" s="2" t="s">
        <v>235</v>
      </c>
      <c r="H14" s="2" t="s">
        <v>104</v>
      </c>
    </row>
    <row r="15" spans="1:8" x14ac:dyDescent="0.25">
      <c r="A15" s="3" t="s">
        <v>69</v>
      </c>
      <c r="B15" s="3" t="s">
        <v>236</v>
      </c>
      <c r="C15" s="3" t="s">
        <v>237</v>
      </c>
      <c r="D15" s="3" t="s">
        <v>238</v>
      </c>
      <c r="E15" s="3"/>
      <c r="F15" s="3"/>
      <c r="G15" s="3" t="s">
        <v>239</v>
      </c>
      <c r="H15" s="3"/>
    </row>
    <row r="16" spans="1:8" x14ac:dyDescent="0.25">
      <c r="A16" s="4" t="s">
        <v>72</v>
      </c>
      <c r="B16" s="4" t="s">
        <v>240</v>
      </c>
      <c r="C16" s="4" t="s">
        <v>237</v>
      </c>
      <c r="D16" s="4" t="s">
        <v>238</v>
      </c>
      <c r="E16" s="4"/>
      <c r="F16" s="4"/>
      <c r="G16" s="4" t="s">
        <v>239</v>
      </c>
      <c r="H16" s="4"/>
    </row>
    <row r="17" spans="1:8" ht="25.5" x14ac:dyDescent="0.25">
      <c r="A17" s="3" t="s">
        <v>75</v>
      </c>
      <c r="B17" s="3" t="s">
        <v>241</v>
      </c>
      <c r="C17" s="3" t="s">
        <v>242</v>
      </c>
      <c r="D17" s="3" t="s">
        <v>243</v>
      </c>
      <c r="E17" s="3"/>
      <c r="F17" s="3"/>
      <c r="G17" s="3" t="s">
        <v>239</v>
      </c>
      <c r="H17" s="3"/>
    </row>
    <row r="18" spans="1:8" x14ac:dyDescent="0.25">
      <c r="A18" s="4" t="s">
        <v>78</v>
      </c>
      <c r="B18" s="4" t="s">
        <v>244</v>
      </c>
      <c r="C18" s="4" t="s">
        <v>245</v>
      </c>
      <c r="D18" s="4" t="s">
        <v>246</v>
      </c>
      <c r="E18" s="4"/>
      <c r="F18" s="4"/>
      <c r="G18" s="4" t="s">
        <v>239</v>
      </c>
      <c r="H18" s="4" t="s">
        <v>247</v>
      </c>
    </row>
    <row r="19" spans="1:8" x14ac:dyDescent="0.25">
      <c r="A19" s="3" t="s">
        <v>82</v>
      </c>
      <c r="B19" s="3" t="s">
        <v>248</v>
      </c>
      <c r="C19" s="3" t="s">
        <v>249</v>
      </c>
      <c r="D19" s="3"/>
      <c r="E19" s="3"/>
      <c r="F19" s="3"/>
      <c r="G19" s="3" t="s">
        <v>239</v>
      </c>
      <c r="H19" s="3"/>
    </row>
    <row r="21" spans="1:8" ht="21.95" customHeight="1" x14ac:dyDescent="0.25">
      <c r="A21" s="18" t="s">
        <v>250</v>
      </c>
      <c r="B21" s="10"/>
      <c r="C21" s="10"/>
      <c r="D21" s="10"/>
      <c r="E21" s="10"/>
      <c r="F21" s="10"/>
      <c r="G21" s="10"/>
      <c r="H21" s="10"/>
    </row>
    <row r="22" spans="1:8" ht="26.1" customHeight="1" x14ac:dyDescent="0.25">
      <c r="A22" s="2" t="s">
        <v>99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27</v>
      </c>
      <c r="H22" s="2" t="s">
        <v>104</v>
      </c>
    </row>
    <row r="23" spans="1:8" ht="25.5" x14ac:dyDescent="0.25">
      <c r="A23" s="3" t="s">
        <v>69</v>
      </c>
      <c r="B23" s="3" t="s">
        <v>256</v>
      </c>
      <c r="C23" s="3"/>
      <c r="D23" s="3"/>
      <c r="E23" s="3"/>
      <c r="F23" s="3"/>
      <c r="G23" s="3" t="s">
        <v>57</v>
      </c>
      <c r="H23" s="3"/>
    </row>
    <row r="24" spans="1:8" ht="25.5" x14ac:dyDescent="0.25">
      <c r="A24" s="4" t="s">
        <v>72</v>
      </c>
      <c r="B24" s="4" t="s">
        <v>257</v>
      </c>
      <c r="C24" s="4"/>
      <c r="D24" s="4"/>
      <c r="E24" s="4"/>
      <c r="F24" s="4"/>
      <c r="G24" s="4" t="s">
        <v>57</v>
      </c>
      <c r="H24" s="4"/>
    </row>
    <row r="25" spans="1:8" ht="25.5" x14ac:dyDescent="0.25">
      <c r="A25" s="3" t="s">
        <v>75</v>
      </c>
      <c r="B25" s="3" t="s">
        <v>258</v>
      </c>
      <c r="C25" s="3"/>
      <c r="D25" s="3"/>
      <c r="E25" s="3"/>
      <c r="F25" s="3"/>
      <c r="G25" s="3" t="s">
        <v>57</v>
      </c>
      <c r="H25" s="3"/>
    </row>
  </sheetData>
  <mergeCells count="5">
    <mergeCell ref="A4:H4"/>
    <mergeCell ref="A21:H21"/>
    <mergeCell ref="A2:H2"/>
    <mergeCell ref="A13:H13"/>
    <mergeCell ref="A1:H1"/>
  </mergeCells>
  <dataValidations count="3">
    <dataValidation type="list" allowBlank="1" sqref="F6:F11" xr:uid="{00000000-0002-0000-0200-000000000000}">
      <formula1>"Cao,Trung bình,Thấp"</formula1>
    </dataValidation>
    <dataValidation type="list" allowBlank="1" sqref="H6:H11 G23:G25" xr:uid="{00000000-0002-0000-0200-000001000000}">
      <formula1>"Chưa bắt đầu,Đang làm,Chờ duyệt,Hoàn thành,Bị chặn,Bỏ qua"</formula1>
    </dataValidation>
    <dataValidation type="list" allowBlank="1" sqref="G15:G19" xr:uid="{00000000-0002-0000-0200-000002000000}">
      <formula1>"Có,Không,N/A"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20" customWidth="1"/>
    <col min="3" max="3" width="16" customWidth="1"/>
    <col min="4" max="4" width="10" customWidth="1"/>
    <col min="5" max="5" width="20" customWidth="1"/>
    <col min="6" max="6" width="26" customWidth="1"/>
    <col min="7" max="7" width="22" customWidth="1"/>
    <col min="8" max="8" width="18" customWidth="1"/>
  </cols>
  <sheetData>
    <row r="1" spans="1:8" ht="33.950000000000003" customHeight="1" x14ac:dyDescent="0.25">
      <c r="A1" s="19" t="s">
        <v>259</v>
      </c>
      <c r="B1" s="10"/>
      <c r="C1" s="10"/>
      <c r="D1" s="10"/>
      <c r="E1" s="10"/>
      <c r="F1" s="10"/>
      <c r="G1" s="10"/>
      <c r="H1" s="10"/>
    </row>
    <row r="2" spans="1:8" ht="20.100000000000001" customHeight="1" x14ac:dyDescent="0.25">
      <c r="A2" s="20" t="s">
        <v>260</v>
      </c>
      <c r="B2" s="10"/>
      <c r="C2" s="10"/>
      <c r="D2" s="10"/>
      <c r="E2" s="10"/>
      <c r="F2" s="10"/>
      <c r="G2" s="10"/>
      <c r="H2" s="10"/>
    </row>
    <row r="4" spans="1:8" ht="21.95" customHeight="1" x14ac:dyDescent="0.25">
      <c r="A4" s="18" t="s">
        <v>261</v>
      </c>
      <c r="B4" s="10"/>
      <c r="C4" s="10"/>
      <c r="D4" s="10"/>
      <c r="E4" s="10"/>
      <c r="F4" s="10"/>
      <c r="G4" s="10"/>
      <c r="H4" s="10"/>
    </row>
    <row r="5" spans="1:8" ht="26.1" customHeight="1" x14ac:dyDescent="0.25">
      <c r="A5" s="2" t="s">
        <v>262</v>
      </c>
      <c r="B5" s="2" t="s">
        <v>263</v>
      </c>
      <c r="C5" s="2" t="s">
        <v>264</v>
      </c>
      <c r="D5" s="2" t="s">
        <v>265</v>
      </c>
      <c r="E5" s="2" t="s">
        <v>266</v>
      </c>
      <c r="F5" s="2" t="s">
        <v>267</v>
      </c>
      <c r="G5" s="2" t="s">
        <v>268</v>
      </c>
      <c r="H5" s="2" t="s">
        <v>27</v>
      </c>
    </row>
    <row r="6" spans="1:8" ht="51" x14ac:dyDescent="0.25">
      <c r="A6" s="3" t="s">
        <v>269</v>
      </c>
      <c r="B6" s="3" t="s">
        <v>270</v>
      </c>
      <c r="C6" s="3" t="s">
        <v>271</v>
      </c>
      <c r="D6" s="3" t="s">
        <v>272</v>
      </c>
      <c r="E6" s="3" t="s">
        <v>273</v>
      </c>
      <c r="F6" s="3" t="s">
        <v>224</v>
      </c>
      <c r="G6" s="3" t="s">
        <v>205</v>
      </c>
      <c r="H6" s="3" t="s">
        <v>57</v>
      </c>
    </row>
    <row r="7" spans="1:8" ht="38.25" x14ac:dyDescent="0.25">
      <c r="A7" s="4" t="s">
        <v>274</v>
      </c>
      <c r="B7" s="4" t="s">
        <v>270</v>
      </c>
      <c r="C7" s="4" t="s">
        <v>275</v>
      </c>
      <c r="D7" s="4" t="s">
        <v>276</v>
      </c>
      <c r="E7" s="4" t="s">
        <v>277</v>
      </c>
      <c r="F7" s="4" t="s">
        <v>200</v>
      </c>
      <c r="G7" s="4" t="s">
        <v>205</v>
      </c>
      <c r="H7" s="4" t="s">
        <v>57</v>
      </c>
    </row>
    <row r="8" spans="1:8" ht="38.25" x14ac:dyDescent="0.25">
      <c r="A8" s="3" t="s">
        <v>278</v>
      </c>
      <c r="B8" s="3" t="s">
        <v>279</v>
      </c>
      <c r="C8" s="3" t="s">
        <v>280</v>
      </c>
      <c r="D8" s="3" t="s">
        <v>281</v>
      </c>
      <c r="E8" s="3" t="s">
        <v>282</v>
      </c>
      <c r="F8" s="3" t="s">
        <v>283</v>
      </c>
      <c r="G8" s="3" t="s">
        <v>205</v>
      </c>
      <c r="H8" s="3" t="s">
        <v>57</v>
      </c>
    </row>
    <row r="9" spans="1:8" ht="38.25" x14ac:dyDescent="0.25">
      <c r="A9" s="4" t="s">
        <v>284</v>
      </c>
      <c r="B9" s="4" t="s">
        <v>214</v>
      </c>
      <c r="C9" s="4" t="s">
        <v>285</v>
      </c>
      <c r="D9" s="4" t="s">
        <v>286</v>
      </c>
      <c r="E9" s="4" t="s">
        <v>287</v>
      </c>
      <c r="F9" s="4" t="s">
        <v>216</v>
      </c>
      <c r="G9" s="4" t="s">
        <v>205</v>
      </c>
      <c r="H9" s="4" t="s">
        <v>57</v>
      </c>
    </row>
    <row r="10" spans="1:8" ht="25.5" x14ac:dyDescent="0.25">
      <c r="A10" s="3" t="s">
        <v>288</v>
      </c>
      <c r="B10" s="3" t="s">
        <v>270</v>
      </c>
      <c r="C10" s="3" t="s">
        <v>289</v>
      </c>
      <c r="D10" s="3" t="s">
        <v>290</v>
      </c>
      <c r="E10" s="3" t="s">
        <v>291</v>
      </c>
      <c r="F10" s="3" t="s">
        <v>220</v>
      </c>
      <c r="G10" s="3" t="s">
        <v>205</v>
      </c>
      <c r="H10" s="3" t="s">
        <v>57</v>
      </c>
    </row>
    <row r="12" spans="1:8" ht="21.95" customHeight="1" x14ac:dyDescent="0.25">
      <c r="A12" s="18" t="s">
        <v>292</v>
      </c>
      <c r="B12" s="10"/>
      <c r="C12" s="10"/>
      <c r="D12" s="10"/>
      <c r="E12" s="10"/>
      <c r="F12" s="10"/>
      <c r="G12" s="10"/>
      <c r="H12" s="10"/>
    </row>
    <row r="13" spans="1:8" ht="26.1" customHeight="1" x14ac:dyDescent="0.25">
      <c r="A13" s="2" t="s">
        <v>293</v>
      </c>
      <c r="B13" s="2" t="s">
        <v>294</v>
      </c>
      <c r="C13" s="2" t="s">
        <v>295</v>
      </c>
      <c r="D13" s="2" t="s">
        <v>296</v>
      </c>
      <c r="E13" s="2" t="s">
        <v>297</v>
      </c>
      <c r="F13" s="2" t="s">
        <v>298</v>
      </c>
      <c r="G13" s="2" t="s">
        <v>299</v>
      </c>
      <c r="H13" s="2" t="s">
        <v>104</v>
      </c>
    </row>
    <row r="14" spans="1:8" ht="25.5" x14ac:dyDescent="0.25">
      <c r="A14" s="3" t="s">
        <v>300</v>
      </c>
      <c r="B14" s="3" t="s">
        <v>301</v>
      </c>
      <c r="C14" s="3" t="s">
        <v>302</v>
      </c>
      <c r="D14" s="3" t="s">
        <v>303</v>
      </c>
      <c r="E14" s="3" t="s">
        <v>304</v>
      </c>
      <c r="F14" s="3" t="s">
        <v>305</v>
      </c>
      <c r="G14" s="3" t="s">
        <v>306</v>
      </c>
      <c r="H14" s="3"/>
    </row>
    <row r="15" spans="1:8" x14ac:dyDescent="0.25">
      <c r="A15" s="4" t="s">
        <v>307</v>
      </c>
      <c r="B15" s="4" t="s">
        <v>308</v>
      </c>
      <c r="C15" s="4" t="s">
        <v>302</v>
      </c>
      <c r="D15" s="4" t="s">
        <v>303</v>
      </c>
      <c r="E15" s="4" t="s">
        <v>309</v>
      </c>
      <c r="F15" s="4" t="s">
        <v>310</v>
      </c>
      <c r="G15" s="4"/>
      <c r="H15" s="4"/>
    </row>
    <row r="16" spans="1:8" ht="25.5" x14ac:dyDescent="0.25">
      <c r="A16" s="3" t="s">
        <v>311</v>
      </c>
      <c r="B16" s="3" t="s">
        <v>312</v>
      </c>
      <c r="C16" s="3" t="s">
        <v>302</v>
      </c>
      <c r="D16" s="3" t="s">
        <v>303</v>
      </c>
      <c r="E16" s="3" t="s">
        <v>313</v>
      </c>
      <c r="F16" s="3" t="s">
        <v>314</v>
      </c>
      <c r="G16" s="3" t="s">
        <v>315</v>
      </c>
      <c r="H16" s="3"/>
    </row>
    <row r="17" spans="1:8" ht="25.5" x14ac:dyDescent="0.25">
      <c r="A17" s="4" t="s">
        <v>316</v>
      </c>
      <c r="B17" s="4" t="s">
        <v>317</v>
      </c>
      <c r="C17" s="4" t="s">
        <v>318</v>
      </c>
      <c r="D17" s="4" t="s">
        <v>303</v>
      </c>
      <c r="E17" s="4" t="s">
        <v>313</v>
      </c>
      <c r="F17" s="4" t="s">
        <v>319</v>
      </c>
      <c r="G17" s="4"/>
      <c r="H17" s="4"/>
    </row>
    <row r="18" spans="1:8" ht="25.5" x14ac:dyDescent="0.25">
      <c r="A18" s="3" t="s">
        <v>320</v>
      </c>
      <c r="B18" s="3" t="s">
        <v>321</v>
      </c>
      <c r="C18" s="3" t="s">
        <v>302</v>
      </c>
      <c r="D18" s="3" t="s">
        <v>303</v>
      </c>
      <c r="E18" s="3" t="s">
        <v>313</v>
      </c>
      <c r="F18" s="3" t="s">
        <v>322</v>
      </c>
      <c r="G18" s="3"/>
      <c r="H18" s="3"/>
    </row>
    <row r="20" spans="1:8" ht="21.95" customHeight="1" x14ac:dyDescent="0.25">
      <c r="A20" s="18" t="s">
        <v>323</v>
      </c>
      <c r="B20" s="10"/>
      <c r="C20" s="10"/>
      <c r="D20" s="10"/>
      <c r="E20" s="10"/>
      <c r="F20" s="10"/>
      <c r="G20" s="10"/>
      <c r="H20" s="10"/>
    </row>
    <row r="21" spans="1:8" ht="26.1" customHeight="1" x14ac:dyDescent="0.25">
      <c r="A21" s="2" t="s">
        <v>324</v>
      </c>
      <c r="B21" s="2" t="s">
        <v>204</v>
      </c>
      <c r="C21" s="2" t="s">
        <v>325</v>
      </c>
      <c r="D21" s="2" t="s">
        <v>326</v>
      </c>
      <c r="E21" s="2" t="s">
        <v>327</v>
      </c>
      <c r="F21" s="2" t="s">
        <v>328</v>
      </c>
      <c r="G21" s="2" t="s">
        <v>268</v>
      </c>
      <c r="H21" s="2" t="s">
        <v>27</v>
      </c>
    </row>
    <row r="22" spans="1:8" ht="25.5" x14ac:dyDescent="0.25">
      <c r="A22" s="3" t="s">
        <v>329</v>
      </c>
      <c r="B22" s="3" t="s">
        <v>330</v>
      </c>
      <c r="C22" s="3" t="s">
        <v>331</v>
      </c>
      <c r="D22" s="3" t="s">
        <v>332</v>
      </c>
      <c r="E22" s="3"/>
      <c r="F22" s="3"/>
      <c r="G22" s="3" t="s">
        <v>205</v>
      </c>
      <c r="H22" s="3" t="s">
        <v>57</v>
      </c>
    </row>
    <row r="23" spans="1:8" x14ac:dyDescent="0.25">
      <c r="A23" s="4" t="s">
        <v>333</v>
      </c>
      <c r="B23" s="4" t="s">
        <v>334</v>
      </c>
      <c r="C23" s="4" t="s">
        <v>331</v>
      </c>
      <c r="D23" s="4" t="s">
        <v>329</v>
      </c>
      <c r="E23" s="4"/>
      <c r="F23" s="4"/>
      <c r="G23" s="4" t="s">
        <v>205</v>
      </c>
      <c r="H23" s="4" t="s">
        <v>57</v>
      </c>
    </row>
    <row r="24" spans="1:8" x14ac:dyDescent="0.25">
      <c r="A24" s="3" t="s">
        <v>335</v>
      </c>
      <c r="B24" s="3" t="s">
        <v>336</v>
      </c>
      <c r="C24" s="3" t="s">
        <v>337</v>
      </c>
      <c r="D24" s="3" t="s">
        <v>333</v>
      </c>
      <c r="E24" s="3"/>
      <c r="F24" s="3"/>
      <c r="G24" s="3" t="s">
        <v>205</v>
      </c>
      <c r="H24" s="3" t="s">
        <v>57</v>
      </c>
    </row>
    <row r="25" spans="1:8" x14ac:dyDescent="0.25">
      <c r="A25" s="4" t="s">
        <v>338</v>
      </c>
      <c r="B25" s="4" t="s">
        <v>339</v>
      </c>
      <c r="C25" s="4" t="s">
        <v>340</v>
      </c>
      <c r="D25" s="4" t="s">
        <v>335</v>
      </c>
      <c r="E25" s="4"/>
      <c r="F25" s="4"/>
      <c r="G25" s="4" t="s">
        <v>205</v>
      </c>
      <c r="H25" s="4" t="s">
        <v>57</v>
      </c>
    </row>
    <row r="26" spans="1:8" x14ac:dyDescent="0.25">
      <c r="A26" s="3" t="s">
        <v>341</v>
      </c>
      <c r="B26" s="3" t="s">
        <v>221</v>
      </c>
      <c r="C26" s="3" t="s">
        <v>340</v>
      </c>
      <c r="D26" s="3" t="s">
        <v>338</v>
      </c>
      <c r="E26" s="3"/>
      <c r="F26" s="3"/>
      <c r="G26" s="3" t="s">
        <v>205</v>
      </c>
      <c r="H26" s="3" t="s">
        <v>57</v>
      </c>
    </row>
    <row r="28" spans="1:8" ht="21.95" customHeight="1" x14ac:dyDescent="0.25">
      <c r="A28" s="21" t="s">
        <v>342</v>
      </c>
      <c r="B28" s="10"/>
      <c r="C28" s="10"/>
      <c r="D28" s="10"/>
      <c r="E28" s="10"/>
      <c r="F28" s="10"/>
      <c r="G28" s="10"/>
      <c r="H28" s="10"/>
    </row>
    <row r="29" spans="1:8" ht="26.1" customHeight="1" x14ac:dyDescent="0.25">
      <c r="A29" s="7" t="s">
        <v>99</v>
      </c>
      <c r="B29" s="7" t="s">
        <v>343</v>
      </c>
      <c r="C29" s="7" t="s">
        <v>344</v>
      </c>
      <c r="D29" s="7" t="s">
        <v>255</v>
      </c>
      <c r="E29" s="7" t="s">
        <v>345</v>
      </c>
      <c r="F29" s="7" t="s">
        <v>346</v>
      </c>
      <c r="G29" s="7" t="s">
        <v>347</v>
      </c>
      <c r="H29" s="7" t="s">
        <v>27</v>
      </c>
    </row>
    <row r="30" spans="1:8" x14ac:dyDescent="0.25">
      <c r="A30" s="3" t="s">
        <v>69</v>
      </c>
      <c r="B30" s="3" t="s">
        <v>348</v>
      </c>
      <c r="C30" s="3" t="s">
        <v>349</v>
      </c>
      <c r="D30" s="3" t="s">
        <v>205</v>
      </c>
      <c r="E30" s="3" t="s">
        <v>205</v>
      </c>
      <c r="F30" s="3" t="s">
        <v>350</v>
      </c>
      <c r="G30" s="3"/>
      <c r="H30" s="3" t="s">
        <v>57</v>
      </c>
    </row>
    <row r="31" spans="1:8" x14ac:dyDescent="0.25">
      <c r="A31" s="4" t="s">
        <v>72</v>
      </c>
      <c r="B31" s="4" t="s">
        <v>351</v>
      </c>
      <c r="C31" s="4" t="s">
        <v>349</v>
      </c>
      <c r="D31" s="4" t="s">
        <v>349</v>
      </c>
      <c r="E31" s="4" t="s">
        <v>352</v>
      </c>
      <c r="F31" s="4" t="s">
        <v>353</v>
      </c>
      <c r="G31" s="4"/>
      <c r="H31" s="4" t="s">
        <v>57</v>
      </c>
    </row>
    <row r="32" spans="1:8" x14ac:dyDescent="0.25">
      <c r="A32" s="3" t="s">
        <v>75</v>
      </c>
      <c r="B32" s="3" t="s">
        <v>354</v>
      </c>
      <c r="C32" s="3" t="s">
        <v>355</v>
      </c>
      <c r="D32" s="3" t="s">
        <v>205</v>
      </c>
      <c r="E32" s="3" t="s">
        <v>205</v>
      </c>
      <c r="F32" s="3" t="s">
        <v>356</v>
      </c>
      <c r="G32" s="3"/>
      <c r="H32" s="3" t="s">
        <v>57</v>
      </c>
    </row>
  </sheetData>
  <mergeCells count="6">
    <mergeCell ref="A1:H1"/>
    <mergeCell ref="A12:H12"/>
    <mergeCell ref="A4:H4"/>
    <mergeCell ref="A20:H20"/>
    <mergeCell ref="A2:H2"/>
    <mergeCell ref="A28:H28"/>
  </mergeCells>
  <dataValidations count="3">
    <dataValidation type="list" allowBlank="1" sqref="G6:G10 G22:G26" xr:uid="{00000000-0002-0000-0300-000000000000}">
      <formula1>"Cao,Trung bình,Thấp"</formula1>
    </dataValidation>
    <dataValidation type="list" allowBlank="1" sqref="H6:H10 H30:H32 H22:H26" xr:uid="{00000000-0002-0000-0300-000001000000}">
      <formula1>"Chưa bắt đầu,Đang làm,Chờ duyệt,Hoàn thành,Bị chặn,Bỏ qua"</formula1>
    </dataValidation>
    <dataValidation type="list" allowBlank="1" sqref="D14:D18" xr:uid="{00000000-0002-0000-0300-000002000000}">
      <formula1>"Có,Không,N/A"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50" customWidth="1"/>
    <col min="3" max="3" width="12" customWidth="1"/>
    <col min="4" max="4" width="10" customWidth="1"/>
    <col min="5" max="5" width="30" customWidth="1"/>
    <col min="6" max="9" width="6" customWidth="1"/>
  </cols>
  <sheetData>
    <row r="1" spans="1:9" ht="33.950000000000003" customHeight="1" x14ac:dyDescent="0.25">
      <c r="A1" s="19" t="s">
        <v>357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20" t="s">
        <v>358</v>
      </c>
      <c r="B2" s="10"/>
      <c r="C2" s="10"/>
      <c r="D2" s="10"/>
      <c r="E2" s="10"/>
      <c r="F2" s="10"/>
      <c r="G2" s="10"/>
      <c r="H2" s="10"/>
      <c r="I2" s="10"/>
    </row>
    <row r="4" spans="1:9" ht="21.95" customHeight="1" x14ac:dyDescent="0.25">
      <c r="A4" s="18" t="s">
        <v>359</v>
      </c>
      <c r="B4" s="10"/>
      <c r="C4" s="10"/>
      <c r="D4" s="10"/>
      <c r="E4" s="10"/>
      <c r="F4" s="10"/>
      <c r="G4" s="10"/>
      <c r="H4" s="10"/>
      <c r="I4" s="10"/>
    </row>
    <row r="5" spans="1:9" ht="26.1" customHeight="1" x14ac:dyDescent="0.25">
      <c r="A5" s="2" t="s">
        <v>99</v>
      </c>
      <c r="B5" s="2" t="s">
        <v>360</v>
      </c>
      <c r="C5" s="2" t="s">
        <v>361</v>
      </c>
      <c r="D5" s="2" t="s">
        <v>298</v>
      </c>
      <c r="E5" s="2" t="s">
        <v>362</v>
      </c>
      <c r="F5" s="2" t="s">
        <v>328</v>
      </c>
      <c r="G5" s="2" t="s">
        <v>363</v>
      </c>
      <c r="H5" s="2" t="s">
        <v>27</v>
      </c>
      <c r="I5" s="2" t="s">
        <v>104</v>
      </c>
    </row>
    <row r="6" spans="1:9" ht="38.25" x14ac:dyDescent="0.25">
      <c r="A6" s="3" t="s">
        <v>69</v>
      </c>
      <c r="B6" s="3" t="s">
        <v>364</v>
      </c>
      <c r="C6" s="3" t="s">
        <v>365</v>
      </c>
      <c r="D6" s="3" t="s">
        <v>366</v>
      </c>
      <c r="E6" s="3" t="s">
        <v>367</v>
      </c>
      <c r="F6" s="3"/>
      <c r="G6" s="3"/>
      <c r="H6" s="3" t="s">
        <v>57</v>
      </c>
      <c r="I6" s="3"/>
    </row>
    <row r="7" spans="1:9" ht="38.25" x14ac:dyDescent="0.25">
      <c r="A7" s="4" t="s">
        <v>72</v>
      </c>
      <c r="B7" s="4" t="s">
        <v>364</v>
      </c>
      <c r="C7" s="4" t="s">
        <v>368</v>
      </c>
      <c r="D7" s="4" t="s">
        <v>369</v>
      </c>
      <c r="E7" s="4" t="s">
        <v>367</v>
      </c>
      <c r="F7" s="4"/>
      <c r="G7" s="4"/>
      <c r="H7" s="4" t="s">
        <v>57</v>
      </c>
      <c r="I7" s="4"/>
    </row>
    <row r="8" spans="1:9" ht="38.25" x14ac:dyDescent="0.25">
      <c r="A8" s="3" t="s">
        <v>75</v>
      </c>
      <c r="B8" s="3" t="s">
        <v>364</v>
      </c>
      <c r="C8" s="3" t="s">
        <v>370</v>
      </c>
      <c r="D8" s="3" t="s">
        <v>371</v>
      </c>
      <c r="E8" s="3" t="s">
        <v>372</v>
      </c>
      <c r="F8" s="3"/>
      <c r="G8" s="3"/>
      <c r="H8" s="3" t="s">
        <v>57</v>
      </c>
      <c r="I8" s="3"/>
    </row>
    <row r="9" spans="1:9" ht="38.25" x14ac:dyDescent="0.25">
      <c r="A9" s="4" t="s">
        <v>78</v>
      </c>
      <c r="B9" s="4" t="s">
        <v>364</v>
      </c>
      <c r="C9" s="4" t="s">
        <v>373</v>
      </c>
      <c r="D9" s="4" t="s">
        <v>374</v>
      </c>
      <c r="E9" s="4" t="s">
        <v>375</v>
      </c>
      <c r="F9" s="4"/>
      <c r="G9" s="4"/>
      <c r="H9" s="4" t="s">
        <v>57</v>
      </c>
      <c r="I9" s="4"/>
    </row>
    <row r="10" spans="1:9" ht="38.25" x14ac:dyDescent="0.25">
      <c r="A10" s="3" t="s">
        <v>82</v>
      </c>
      <c r="B10" s="3" t="s">
        <v>376</v>
      </c>
      <c r="C10" s="3" t="s">
        <v>377</v>
      </c>
      <c r="D10" s="3" t="s">
        <v>378</v>
      </c>
      <c r="E10" s="3" t="s">
        <v>379</v>
      </c>
      <c r="F10" s="3"/>
      <c r="G10" s="3"/>
      <c r="H10" s="3" t="s">
        <v>57</v>
      </c>
      <c r="I10" s="3"/>
    </row>
    <row r="11" spans="1:9" ht="38.25" x14ac:dyDescent="0.25">
      <c r="A11" s="4" t="s">
        <v>86</v>
      </c>
      <c r="B11" s="4" t="s">
        <v>364</v>
      </c>
      <c r="C11" s="4" t="s">
        <v>380</v>
      </c>
      <c r="D11" s="4" t="s">
        <v>381</v>
      </c>
      <c r="E11" s="4" t="s">
        <v>382</v>
      </c>
      <c r="F11" s="4"/>
      <c r="G11" s="4"/>
      <c r="H11" s="4" t="s">
        <v>57</v>
      </c>
      <c r="I11" s="4"/>
    </row>
    <row r="12" spans="1:9" ht="38.25" x14ac:dyDescent="0.25">
      <c r="A12" s="3" t="s">
        <v>89</v>
      </c>
      <c r="B12" s="3" t="s">
        <v>364</v>
      </c>
      <c r="C12" s="3" t="s">
        <v>383</v>
      </c>
      <c r="D12" s="3" t="s">
        <v>221</v>
      </c>
      <c r="E12" s="3" t="s">
        <v>384</v>
      </c>
      <c r="F12" s="3"/>
      <c r="G12" s="3"/>
      <c r="H12" s="3" t="s">
        <v>57</v>
      </c>
      <c r="I12" s="3"/>
    </row>
    <row r="14" spans="1:9" ht="21.95" customHeight="1" x14ac:dyDescent="0.25">
      <c r="A14" s="18" t="s">
        <v>385</v>
      </c>
      <c r="B14" s="10"/>
      <c r="C14" s="10"/>
      <c r="D14" s="10"/>
      <c r="E14" s="10"/>
      <c r="F14" s="10"/>
      <c r="G14" s="10"/>
      <c r="H14" s="10"/>
      <c r="I14" s="10"/>
    </row>
    <row r="15" spans="1:9" ht="26.1" customHeight="1" x14ac:dyDescent="0.25">
      <c r="A15" s="2" t="s">
        <v>99</v>
      </c>
      <c r="B15" s="2" t="s">
        <v>386</v>
      </c>
      <c r="C15" s="2" t="s">
        <v>387</v>
      </c>
      <c r="D15" s="2" t="s">
        <v>298</v>
      </c>
      <c r="E15" s="2" t="s">
        <v>388</v>
      </c>
      <c r="F15" s="2" t="s">
        <v>328</v>
      </c>
      <c r="G15" s="2" t="s">
        <v>363</v>
      </c>
      <c r="H15" s="2" t="s">
        <v>27</v>
      </c>
      <c r="I15" s="2" t="s">
        <v>104</v>
      </c>
    </row>
    <row r="16" spans="1:9" ht="38.25" x14ac:dyDescent="0.25">
      <c r="A16" s="3" t="s">
        <v>69</v>
      </c>
      <c r="B16" s="3" t="s">
        <v>389</v>
      </c>
      <c r="C16" s="3" t="s">
        <v>390</v>
      </c>
      <c r="D16" s="3" t="s">
        <v>391</v>
      </c>
      <c r="E16" s="3" t="s">
        <v>392</v>
      </c>
      <c r="F16" s="3"/>
      <c r="G16" s="3"/>
      <c r="H16" s="3" t="s">
        <v>57</v>
      </c>
      <c r="I16" s="3"/>
    </row>
    <row r="17" spans="1:9" ht="38.25" x14ac:dyDescent="0.25">
      <c r="A17" s="4" t="s">
        <v>72</v>
      </c>
      <c r="B17" s="4" t="s">
        <v>393</v>
      </c>
      <c r="C17" s="4" t="s">
        <v>394</v>
      </c>
      <c r="D17" s="4" t="s">
        <v>395</v>
      </c>
      <c r="E17" s="4" t="s">
        <v>372</v>
      </c>
      <c r="F17" s="4"/>
      <c r="G17" s="4"/>
      <c r="H17" s="4" t="s">
        <v>57</v>
      </c>
      <c r="I17" s="4"/>
    </row>
    <row r="18" spans="1:9" ht="38.25" x14ac:dyDescent="0.25">
      <c r="A18" s="3" t="s">
        <v>75</v>
      </c>
      <c r="B18" s="3" t="s">
        <v>396</v>
      </c>
      <c r="C18" s="3" t="s">
        <v>397</v>
      </c>
      <c r="D18" s="3" t="s">
        <v>201</v>
      </c>
      <c r="E18" s="3" t="s">
        <v>375</v>
      </c>
      <c r="F18" s="3"/>
      <c r="G18" s="3"/>
      <c r="H18" s="3" t="s">
        <v>57</v>
      </c>
      <c r="I18" s="3"/>
    </row>
    <row r="19" spans="1:9" ht="38.25" x14ac:dyDescent="0.25">
      <c r="A19" s="4" t="s">
        <v>78</v>
      </c>
      <c r="B19" s="4" t="s">
        <v>398</v>
      </c>
      <c r="C19" s="4" t="s">
        <v>399</v>
      </c>
      <c r="D19" s="4" t="s">
        <v>400</v>
      </c>
      <c r="E19" s="4" t="s">
        <v>401</v>
      </c>
      <c r="F19" s="4"/>
      <c r="G19" s="4"/>
      <c r="H19" s="4" t="s">
        <v>57</v>
      </c>
      <c r="I19" s="4"/>
    </row>
    <row r="20" spans="1:9" ht="38.25" x14ac:dyDescent="0.25">
      <c r="A20" s="3" t="s">
        <v>82</v>
      </c>
      <c r="B20" s="3" t="s">
        <v>341</v>
      </c>
      <c r="C20" s="3" t="s">
        <v>402</v>
      </c>
      <c r="D20" s="3" t="s">
        <v>221</v>
      </c>
      <c r="E20" s="3" t="s">
        <v>384</v>
      </c>
      <c r="F20" s="3"/>
      <c r="G20" s="3"/>
      <c r="H20" s="3" t="s">
        <v>57</v>
      </c>
      <c r="I20" s="3"/>
    </row>
    <row r="22" spans="1:9" ht="21.95" customHeight="1" x14ac:dyDescent="0.25">
      <c r="A22" s="18" t="s">
        <v>403</v>
      </c>
      <c r="B22" s="10"/>
      <c r="C22" s="10"/>
      <c r="D22" s="10"/>
      <c r="E22" s="10"/>
      <c r="F22" s="10"/>
      <c r="G22" s="10"/>
      <c r="H22" s="10"/>
      <c r="I22" s="10"/>
    </row>
    <row r="23" spans="1:9" ht="26.1" customHeight="1" x14ac:dyDescent="0.25">
      <c r="A23" s="6" t="s">
        <v>99</v>
      </c>
      <c r="B23" s="6" t="s">
        <v>404</v>
      </c>
      <c r="C23" s="6" t="s">
        <v>296</v>
      </c>
      <c r="D23" s="6" t="s">
        <v>405</v>
      </c>
      <c r="E23" s="6" t="s">
        <v>104</v>
      </c>
      <c r="F23" s="6"/>
      <c r="G23" s="6"/>
      <c r="H23" s="6"/>
      <c r="I23" s="6"/>
    </row>
    <row r="24" spans="1:9" x14ac:dyDescent="0.25">
      <c r="A24" s="3" t="s">
        <v>69</v>
      </c>
      <c r="B24" s="3" t="s">
        <v>406</v>
      </c>
      <c r="C24" s="3" t="s">
        <v>303</v>
      </c>
      <c r="D24" s="3" t="s">
        <v>239</v>
      </c>
      <c r="E24" s="3"/>
      <c r="F24" s="3"/>
      <c r="G24" s="3"/>
      <c r="H24" s="3"/>
      <c r="I24" s="3"/>
    </row>
    <row r="25" spans="1:9" x14ac:dyDescent="0.25">
      <c r="A25" s="4" t="s">
        <v>72</v>
      </c>
      <c r="B25" s="4" t="s">
        <v>407</v>
      </c>
      <c r="C25" s="4" t="s">
        <v>303</v>
      </c>
      <c r="D25" s="4" t="s">
        <v>239</v>
      </c>
      <c r="E25" s="4"/>
      <c r="F25" s="4"/>
      <c r="G25" s="4"/>
      <c r="H25" s="4"/>
      <c r="I25" s="4"/>
    </row>
    <row r="26" spans="1:9" x14ac:dyDescent="0.25">
      <c r="A26" s="3" t="s">
        <v>75</v>
      </c>
      <c r="B26" s="3" t="s">
        <v>408</v>
      </c>
      <c r="C26" s="3" t="s">
        <v>303</v>
      </c>
      <c r="D26" s="3" t="s">
        <v>239</v>
      </c>
      <c r="E26" s="3"/>
      <c r="F26" s="3"/>
      <c r="G26" s="3"/>
      <c r="H26" s="3"/>
      <c r="I26" s="3"/>
    </row>
    <row r="27" spans="1:9" x14ac:dyDescent="0.25">
      <c r="A27" s="4" t="s">
        <v>78</v>
      </c>
      <c r="B27" s="4" t="s">
        <v>409</v>
      </c>
      <c r="C27" s="4" t="s">
        <v>303</v>
      </c>
      <c r="D27" s="4" t="s">
        <v>239</v>
      </c>
      <c r="E27" s="4"/>
      <c r="F27" s="4"/>
      <c r="G27" s="4"/>
      <c r="H27" s="4"/>
      <c r="I27" s="4"/>
    </row>
    <row r="28" spans="1:9" x14ac:dyDescent="0.25">
      <c r="A28" s="3" t="s">
        <v>82</v>
      </c>
      <c r="B28" s="3" t="s">
        <v>410</v>
      </c>
      <c r="C28" s="3" t="s">
        <v>303</v>
      </c>
      <c r="D28" s="3" t="s">
        <v>239</v>
      </c>
      <c r="E28" s="3"/>
      <c r="F28" s="3"/>
      <c r="G28" s="3"/>
      <c r="H28" s="3"/>
      <c r="I28" s="3"/>
    </row>
    <row r="29" spans="1:9" x14ac:dyDescent="0.25">
      <c r="A29" s="4" t="s">
        <v>86</v>
      </c>
      <c r="B29" s="4" t="s">
        <v>411</v>
      </c>
      <c r="C29" s="4" t="s">
        <v>239</v>
      </c>
      <c r="D29" s="4" t="s">
        <v>239</v>
      </c>
      <c r="E29" s="4"/>
      <c r="F29" s="4"/>
      <c r="G29" s="4"/>
      <c r="H29" s="4"/>
      <c r="I29" s="4"/>
    </row>
  </sheetData>
  <mergeCells count="5">
    <mergeCell ref="A2:I2"/>
    <mergeCell ref="A14:I14"/>
    <mergeCell ref="A1:I1"/>
    <mergeCell ref="A22:I22"/>
    <mergeCell ref="A4:I4"/>
  </mergeCells>
  <dataValidations count="2">
    <dataValidation type="list" allowBlank="1" sqref="H6:H12 H16:H20" xr:uid="{00000000-0002-0000-0400-000000000000}">
      <formula1>"Chưa bắt đầu,Đang làm,Chờ duyệt,Hoàn thành,Bị chặn,Bỏ qua"</formula1>
    </dataValidation>
    <dataValidation type="list" allowBlank="1" sqref="C24:D29" xr:uid="{00000000-0002-0000-0400-000002000000}">
      <formula1>"Có,Không,N/A"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18" customWidth="1"/>
    <col min="3" max="11" width="8" customWidth="1"/>
  </cols>
  <sheetData>
    <row r="1" spans="1:11" ht="33.950000000000003" customHeight="1" x14ac:dyDescent="0.25">
      <c r="A1" s="19" t="s">
        <v>412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.100000000000001" customHeight="1" x14ac:dyDescent="0.25">
      <c r="A2" s="20" t="s">
        <v>413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21.95" customHeight="1" x14ac:dyDescent="0.25">
      <c r="A4" s="18" t="s">
        <v>414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26.1" customHeight="1" x14ac:dyDescent="0.25">
      <c r="A5" s="6" t="s">
        <v>415</v>
      </c>
      <c r="B5" s="6" t="s">
        <v>416</v>
      </c>
      <c r="C5" s="6" t="s">
        <v>417</v>
      </c>
      <c r="D5" s="6" t="s">
        <v>418</v>
      </c>
      <c r="E5" s="6" t="s">
        <v>419</v>
      </c>
      <c r="F5" s="6" t="s">
        <v>420</v>
      </c>
      <c r="G5" s="6" t="s">
        <v>421</v>
      </c>
      <c r="H5" s="6" t="s">
        <v>104</v>
      </c>
      <c r="I5" s="6"/>
      <c r="J5" s="6"/>
      <c r="K5" s="6"/>
    </row>
    <row r="6" spans="1:11" ht="38.25" x14ac:dyDescent="0.25">
      <c r="A6" s="3" t="s">
        <v>422</v>
      </c>
      <c r="B6" s="3" t="s">
        <v>423</v>
      </c>
      <c r="C6" s="3" t="s">
        <v>424</v>
      </c>
      <c r="D6" s="3" t="s">
        <v>425</v>
      </c>
      <c r="E6" s="3" t="s">
        <v>11</v>
      </c>
      <c r="F6" s="3" t="s">
        <v>426</v>
      </c>
      <c r="G6" s="3" t="s">
        <v>427</v>
      </c>
      <c r="H6" s="3"/>
      <c r="I6" s="3"/>
      <c r="J6" s="3"/>
      <c r="K6" s="3"/>
    </row>
    <row r="7" spans="1:11" ht="38.25" x14ac:dyDescent="0.25">
      <c r="A7" s="4" t="s">
        <v>428</v>
      </c>
      <c r="B7" s="4" t="s">
        <v>423</v>
      </c>
      <c r="C7" s="4" t="s">
        <v>429</v>
      </c>
      <c r="D7" s="4" t="s">
        <v>430</v>
      </c>
      <c r="E7" s="4" t="s">
        <v>11</v>
      </c>
      <c r="F7" s="4" t="s">
        <v>426</v>
      </c>
      <c r="G7" s="4" t="s">
        <v>427</v>
      </c>
      <c r="H7" s="4"/>
      <c r="I7" s="4"/>
      <c r="J7" s="4"/>
      <c r="K7" s="4"/>
    </row>
    <row r="8" spans="1:11" ht="38.25" x14ac:dyDescent="0.25">
      <c r="A8" s="3" t="s">
        <v>431</v>
      </c>
      <c r="B8" s="3" t="s">
        <v>423</v>
      </c>
      <c r="C8" s="3" t="s">
        <v>432</v>
      </c>
      <c r="D8" s="3" t="s">
        <v>433</v>
      </c>
      <c r="E8" s="3" t="s">
        <v>11</v>
      </c>
      <c r="F8" s="3" t="s">
        <v>426</v>
      </c>
      <c r="G8" s="3" t="s">
        <v>427</v>
      </c>
      <c r="H8" s="3"/>
      <c r="I8" s="3"/>
      <c r="J8" s="3"/>
      <c r="K8" s="3"/>
    </row>
    <row r="10" spans="1:11" ht="21.95" customHeight="1" x14ac:dyDescent="0.25">
      <c r="A10" s="18" t="s">
        <v>434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6.1" customHeight="1" x14ac:dyDescent="0.25">
      <c r="A11" s="2" t="s">
        <v>435</v>
      </c>
      <c r="B11" s="2" t="s">
        <v>436</v>
      </c>
      <c r="C11" s="2" t="s">
        <v>437</v>
      </c>
      <c r="D11" s="2" t="s">
        <v>438</v>
      </c>
      <c r="E11" s="2" t="s">
        <v>439</v>
      </c>
      <c r="F11" s="2" t="s">
        <v>245</v>
      </c>
      <c r="G11" s="2" t="s">
        <v>440</v>
      </c>
      <c r="H11" s="2" t="s">
        <v>441</v>
      </c>
      <c r="I11" s="2" t="s">
        <v>421</v>
      </c>
      <c r="J11" s="2" t="s">
        <v>442</v>
      </c>
      <c r="K11" s="2" t="s">
        <v>104</v>
      </c>
    </row>
    <row r="12" spans="1:11" ht="76.5" x14ac:dyDescent="0.25">
      <c r="A12" s="3" t="s">
        <v>443</v>
      </c>
      <c r="B12" s="3" t="s">
        <v>269</v>
      </c>
      <c r="C12" s="3" t="s">
        <v>444</v>
      </c>
      <c r="D12" s="3" t="s">
        <v>445</v>
      </c>
      <c r="E12" s="3" t="s">
        <v>446</v>
      </c>
      <c r="F12" s="3" t="s">
        <v>447</v>
      </c>
      <c r="G12" s="3" t="s">
        <v>448</v>
      </c>
      <c r="H12" s="3"/>
      <c r="I12" s="3" t="s">
        <v>427</v>
      </c>
      <c r="J12" s="3" t="s">
        <v>11</v>
      </c>
      <c r="K12" s="3"/>
    </row>
    <row r="13" spans="1:11" ht="63.75" x14ac:dyDescent="0.25">
      <c r="A13" s="4" t="s">
        <v>449</v>
      </c>
      <c r="B13" s="4" t="s">
        <v>269</v>
      </c>
      <c r="C13" s="4" t="s">
        <v>450</v>
      </c>
      <c r="D13" s="4" t="s">
        <v>451</v>
      </c>
      <c r="E13" s="4" t="s">
        <v>452</v>
      </c>
      <c r="F13" s="4" t="s">
        <v>453</v>
      </c>
      <c r="G13" s="4" t="s">
        <v>454</v>
      </c>
      <c r="H13" s="4"/>
      <c r="I13" s="4" t="s">
        <v>427</v>
      </c>
      <c r="J13" s="4" t="s">
        <v>11</v>
      </c>
      <c r="K13" s="4"/>
    </row>
    <row r="14" spans="1:11" ht="89.25" x14ac:dyDescent="0.25">
      <c r="A14" s="3" t="s">
        <v>455</v>
      </c>
      <c r="B14" s="3" t="s">
        <v>274</v>
      </c>
      <c r="C14" s="3" t="s">
        <v>456</v>
      </c>
      <c r="D14" s="3" t="s">
        <v>457</v>
      </c>
      <c r="E14" s="3" t="s">
        <v>458</v>
      </c>
      <c r="F14" s="3" t="s">
        <v>459</v>
      </c>
      <c r="G14" s="3" t="s">
        <v>460</v>
      </c>
      <c r="H14" s="3"/>
      <c r="I14" s="3" t="s">
        <v>427</v>
      </c>
      <c r="J14" s="3" t="s">
        <v>11</v>
      </c>
      <c r="K14" s="3"/>
    </row>
    <row r="15" spans="1:11" ht="51" x14ac:dyDescent="0.25">
      <c r="A15" s="4" t="s">
        <v>461</v>
      </c>
      <c r="B15" s="4" t="s">
        <v>274</v>
      </c>
      <c r="C15" s="4" t="s">
        <v>462</v>
      </c>
      <c r="D15" s="4" t="s">
        <v>457</v>
      </c>
      <c r="E15" s="4" t="s">
        <v>463</v>
      </c>
      <c r="F15" s="4" t="s">
        <v>464</v>
      </c>
      <c r="G15" s="4" t="s">
        <v>465</v>
      </c>
      <c r="H15" s="4"/>
      <c r="I15" s="4" t="s">
        <v>427</v>
      </c>
      <c r="J15" s="4" t="s">
        <v>11</v>
      </c>
      <c r="K15" s="4"/>
    </row>
    <row r="16" spans="1:11" ht="63.75" x14ac:dyDescent="0.25">
      <c r="A16" s="3" t="s">
        <v>466</v>
      </c>
      <c r="B16" s="3" t="s">
        <v>278</v>
      </c>
      <c r="C16" s="3" t="s">
        <v>467</v>
      </c>
      <c r="D16" s="3" t="s">
        <v>468</v>
      </c>
      <c r="E16" s="3" t="s">
        <v>469</v>
      </c>
      <c r="F16" s="3" t="s">
        <v>470</v>
      </c>
      <c r="G16" s="3" t="s">
        <v>471</v>
      </c>
      <c r="H16" s="3"/>
      <c r="I16" s="3" t="s">
        <v>427</v>
      </c>
      <c r="J16" s="3" t="s">
        <v>11</v>
      </c>
      <c r="K16" s="3"/>
    </row>
    <row r="17" spans="1:11" ht="63.75" x14ac:dyDescent="0.25">
      <c r="A17" s="4" t="s">
        <v>472</v>
      </c>
      <c r="B17" s="4" t="s">
        <v>278</v>
      </c>
      <c r="C17" s="4" t="s">
        <v>473</v>
      </c>
      <c r="D17" s="4" t="s">
        <v>474</v>
      </c>
      <c r="E17" s="4" t="s">
        <v>475</v>
      </c>
      <c r="F17" s="4" t="s">
        <v>476</v>
      </c>
      <c r="G17" s="4" t="s">
        <v>477</v>
      </c>
      <c r="H17" s="4"/>
      <c r="I17" s="4" t="s">
        <v>427</v>
      </c>
      <c r="J17" s="4" t="s">
        <v>11</v>
      </c>
      <c r="K17" s="4"/>
    </row>
    <row r="18" spans="1:11" ht="76.5" x14ac:dyDescent="0.25">
      <c r="A18" s="3" t="s">
        <v>478</v>
      </c>
      <c r="B18" s="3" t="s">
        <v>284</v>
      </c>
      <c r="C18" s="3" t="s">
        <v>479</v>
      </c>
      <c r="D18" s="3" t="s">
        <v>480</v>
      </c>
      <c r="E18" s="3" t="s">
        <v>481</v>
      </c>
      <c r="F18" s="3" t="s">
        <v>482</v>
      </c>
      <c r="G18" s="3" t="s">
        <v>483</v>
      </c>
      <c r="H18" s="3"/>
      <c r="I18" s="3" t="s">
        <v>427</v>
      </c>
      <c r="J18" s="3" t="s">
        <v>11</v>
      </c>
      <c r="K18" s="3"/>
    </row>
    <row r="19" spans="1:11" ht="51" x14ac:dyDescent="0.25">
      <c r="A19" s="4" t="s">
        <v>484</v>
      </c>
      <c r="B19" s="4" t="s">
        <v>288</v>
      </c>
      <c r="C19" s="4" t="s">
        <v>221</v>
      </c>
      <c r="D19" s="4" t="s">
        <v>485</v>
      </c>
      <c r="E19" s="4" t="s">
        <v>486</v>
      </c>
      <c r="F19" s="4" t="s">
        <v>487</v>
      </c>
      <c r="G19" s="4" t="s">
        <v>488</v>
      </c>
      <c r="H19" s="4"/>
      <c r="I19" s="4" t="s">
        <v>427</v>
      </c>
      <c r="J19" s="4" t="s">
        <v>11</v>
      </c>
      <c r="K19" s="4"/>
    </row>
    <row r="21" spans="1:11" ht="21.95" customHeight="1" x14ac:dyDescent="0.25">
      <c r="A21" s="21" t="s">
        <v>489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26.1" customHeight="1" x14ac:dyDescent="0.25">
      <c r="A22" s="7" t="s">
        <v>490</v>
      </c>
      <c r="B22" s="7" t="s">
        <v>491</v>
      </c>
      <c r="C22" s="7" t="s">
        <v>492</v>
      </c>
      <c r="D22" s="7" t="s">
        <v>493</v>
      </c>
      <c r="E22" s="7" t="s">
        <v>345</v>
      </c>
      <c r="F22" s="7" t="s">
        <v>494</v>
      </c>
      <c r="G22" s="7" t="s">
        <v>495</v>
      </c>
      <c r="H22" s="7" t="s">
        <v>496</v>
      </c>
      <c r="I22" s="7" t="s">
        <v>27</v>
      </c>
      <c r="J22" s="7" t="s">
        <v>497</v>
      </c>
      <c r="K22" s="7" t="s">
        <v>104</v>
      </c>
    </row>
    <row r="23" spans="1:11" ht="25.5" x14ac:dyDescent="0.25">
      <c r="A23" s="3" t="s">
        <v>498</v>
      </c>
      <c r="B23" s="3"/>
      <c r="C23" s="3"/>
      <c r="D23" s="3"/>
      <c r="E23" s="3"/>
      <c r="F23" s="3" t="s">
        <v>499</v>
      </c>
      <c r="G23" s="3"/>
      <c r="H23" s="3"/>
      <c r="I23" s="3" t="s">
        <v>57</v>
      </c>
      <c r="J23" s="3"/>
      <c r="K23" s="3"/>
    </row>
    <row r="24" spans="1:11" ht="25.5" x14ac:dyDescent="0.25">
      <c r="A24" s="4" t="s">
        <v>500</v>
      </c>
      <c r="B24" s="4"/>
      <c r="C24" s="4"/>
      <c r="D24" s="4"/>
      <c r="E24" s="4"/>
      <c r="F24" s="4" t="s">
        <v>499</v>
      </c>
      <c r="G24" s="4"/>
      <c r="H24" s="4"/>
      <c r="I24" s="4" t="s">
        <v>57</v>
      </c>
      <c r="J24" s="4"/>
      <c r="K24" s="4"/>
    </row>
    <row r="25" spans="1:11" ht="25.5" x14ac:dyDescent="0.25">
      <c r="A25" s="3" t="s">
        <v>501</v>
      </c>
      <c r="B25" s="3"/>
      <c r="C25" s="3"/>
      <c r="D25" s="3"/>
      <c r="E25" s="3"/>
      <c r="F25" s="3" t="s">
        <v>499</v>
      </c>
      <c r="G25" s="3"/>
      <c r="H25" s="3"/>
      <c r="I25" s="3" t="s">
        <v>57</v>
      </c>
      <c r="J25" s="3"/>
      <c r="K25" s="3"/>
    </row>
    <row r="27" spans="1:11" ht="21.95" customHeight="1" x14ac:dyDescent="0.25">
      <c r="A27" s="18" t="s">
        <v>502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26.1" customHeight="1" x14ac:dyDescent="0.25">
      <c r="A28" s="6" t="s">
        <v>503</v>
      </c>
      <c r="B28" s="6" t="s">
        <v>504</v>
      </c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3" t="s">
        <v>505</v>
      </c>
      <c r="B29" s="3">
        <f>COUNTA(A12:A19)</f>
        <v>8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4" t="s">
        <v>506</v>
      </c>
      <c r="B30" s="4">
        <f>COUNTIF(I12:I19,"Đạt")</f>
        <v>0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s="3" t="s">
        <v>507</v>
      </c>
      <c r="B31" s="3">
        <f>COUNTIF(I12:I19,"Không đạt")</f>
        <v>0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5">
      <c r="A32" s="4" t="s">
        <v>508</v>
      </c>
      <c r="B32" s="4">
        <f>COUNTIF(I12:I19,"Chưa test")</f>
        <v>8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s="3" t="s">
        <v>509</v>
      </c>
      <c r="B33" s="8">
        <f>IF(B29=0,0,B30/B29)</f>
        <v>0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4" t="s">
        <v>510</v>
      </c>
      <c r="B34" s="4">
        <f>COUNTIFS(C23:C25,"&lt;&gt;",I23:I25,"&lt;&gt;Hoàn thành")</f>
        <v>0</v>
      </c>
      <c r="C34" s="4"/>
      <c r="D34" s="4"/>
      <c r="E34" s="4"/>
      <c r="F34" s="4"/>
      <c r="G34" s="4"/>
      <c r="H34" s="4"/>
      <c r="I34" s="4"/>
      <c r="J34" s="4"/>
      <c r="K34" s="4"/>
    </row>
  </sheetData>
  <mergeCells count="6">
    <mergeCell ref="A27:K27"/>
    <mergeCell ref="A4:K4"/>
    <mergeCell ref="A21:K21"/>
    <mergeCell ref="A2:K2"/>
    <mergeCell ref="A10:K10"/>
    <mergeCell ref="A1:K1"/>
  </mergeCells>
  <dataValidations count="3">
    <dataValidation type="list" allowBlank="1" sqref="F6:F8 I23:I25" xr:uid="{00000000-0002-0000-0500-000000000000}">
      <formula1>"Chưa bắt đầu,Đang làm,Chờ duyệt,Hoàn thành,Bị chặn,Bỏ qua"</formula1>
    </dataValidation>
    <dataValidation type="list" allowBlank="1" sqref="G6:G8 I12:I19" xr:uid="{00000000-0002-0000-0500-000001000000}">
      <formula1>"Đạt,Không đạt,Chưa test,Đang test"</formula1>
    </dataValidation>
    <dataValidation type="list" allowBlank="1" sqref="E23:E25" xr:uid="{00000000-0002-0000-0500-000003000000}">
      <formula1>"Nghiêm trọng,Cao,Trung bình,Thấp"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26" customWidth="1"/>
    <col min="3" max="3" width="50" customWidth="1"/>
    <col min="4" max="4" width="16" customWidth="1"/>
    <col min="5" max="5" width="12" customWidth="1"/>
    <col min="6" max="6" width="16" customWidth="1"/>
    <col min="7" max="7" width="26" customWidth="1"/>
  </cols>
  <sheetData>
    <row r="1" spans="1:7" ht="33.950000000000003" customHeight="1" x14ac:dyDescent="0.25">
      <c r="A1" s="19" t="s">
        <v>511</v>
      </c>
      <c r="B1" s="10"/>
      <c r="C1" s="10"/>
      <c r="D1" s="10"/>
      <c r="E1" s="10"/>
      <c r="F1" s="10"/>
      <c r="G1" s="10"/>
    </row>
    <row r="2" spans="1:7" ht="20.100000000000001" customHeight="1" x14ac:dyDescent="0.25">
      <c r="A2" s="20" t="s">
        <v>512</v>
      </c>
      <c r="B2" s="10"/>
      <c r="C2" s="10"/>
      <c r="D2" s="10"/>
      <c r="E2" s="10"/>
      <c r="F2" s="10"/>
      <c r="G2" s="10"/>
    </row>
    <row r="4" spans="1:7" ht="21.95" customHeight="1" x14ac:dyDescent="0.25">
      <c r="A4" s="18" t="s">
        <v>513</v>
      </c>
      <c r="B4" s="10"/>
      <c r="C4" s="10"/>
      <c r="D4" s="10"/>
      <c r="E4" s="10"/>
      <c r="F4" s="10"/>
      <c r="G4" s="10"/>
    </row>
    <row r="5" spans="1:7" ht="26.1" customHeight="1" x14ac:dyDescent="0.25">
      <c r="A5" s="2" t="s">
        <v>99</v>
      </c>
      <c r="B5" s="2" t="s">
        <v>100</v>
      </c>
      <c r="C5" s="2" t="s">
        <v>514</v>
      </c>
      <c r="D5" s="2" t="s">
        <v>102</v>
      </c>
      <c r="E5" s="2" t="s">
        <v>103</v>
      </c>
      <c r="F5" s="2" t="s">
        <v>27</v>
      </c>
      <c r="G5" s="2" t="s">
        <v>104</v>
      </c>
    </row>
    <row r="6" spans="1:7" x14ac:dyDescent="0.25">
      <c r="A6" s="3" t="s">
        <v>69</v>
      </c>
      <c r="B6" s="3" t="s">
        <v>515</v>
      </c>
      <c r="C6" s="3" t="s">
        <v>516</v>
      </c>
      <c r="D6" s="3"/>
      <c r="E6" s="3"/>
      <c r="F6" s="3" t="s">
        <v>57</v>
      </c>
      <c r="G6" s="3"/>
    </row>
    <row r="7" spans="1:7" x14ac:dyDescent="0.25">
      <c r="A7" s="4" t="s">
        <v>72</v>
      </c>
      <c r="B7" s="4" t="s">
        <v>517</v>
      </c>
      <c r="C7" s="4" t="s">
        <v>518</v>
      </c>
      <c r="D7" s="4"/>
      <c r="E7" s="4"/>
      <c r="F7" s="4" t="s">
        <v>57</v>
      </c>
      <c r="G7" s="4"/>
    </row>
    <row r="8" spans="1:7" x14ac:dyDescent="0.25">
      <c r="A8" s="3" t="s">
        <v>75</v>
      </c>
      <c r="B8" s="3" t="s">
        <v>519</v>
      </c>
      <c r="C8" s="3" t="s">
        <v>520</v>
      </c>
      <c r="D8" s="3"/>
      <c r="E8" s="3"/>
      <c r="F8" s="3" t="s">
        <v>57</v>
      </c>
      <c r="G8" s="3"/>
    </row>
    <row r="9" spans="1:7" x14ac:dyDescent="0.25">
      <c r="A9" s="4" t="s">
        <v>78</v>
      </c>
      <c r="B9" s="4" t="s">
        <v>521</v>
      </c>
      <c r="C9" s="4" t="s">
        <v>522</v>
      </c>
      <c r="D9" s="4"/>
      <c r="E9" s="4"/>
      <c r="F9" s="4" t="s">
        <v>57</v>
      </c>
      <c r="G9" s="4"/>
    </row>
    <row r="11" spans="1:7" ht="21.95" customHeight="1" x14ac:dyDescent="0.25">
      <c r="A11" s="18" t="s">
        <v>523</v>
      </c>
      <c r="B11" s="10"/>
      <c r="C11" s="10"/>
      <c r="D11" s="10"/>
      <c r="E11" s="10"/>
      <c r="F11" s="10"/>
      <c r="G11" s="10"/>
    </row>
    <row r="12" spans="1:7" ht="26.1" customHeight="1" x14ac:dyDescent="0.25">
      <c r="A12" s="2" t="s">
        <v>99</v>
      </c>
      <c r="B12" s="2" t="s">
        <v>100</v>
      </c>
      <c r="C12" s="2" t="s">
        <v>514</v>
      </c>
      <c r="D12" s="2" t="s">
        <v>102</v>
      </c>
      <c r="E12" s="2" t="s">
        <v>103</v>
      </c>
      <c r="F12" s="2" t="s">
        <v>27</v>
      </c>
      <c r="G12" s="2" t="s">
        <v>104</v>
      </c>
    </row>
    <row r="13" spans="1:7" x14ac:dyDescent="0.25">
      <c r="A13" s="3" t="s">
        <v>82</v>
      </c>
      <c r="B13" s="3" t="s">
        <v>524</v>
      </c>
      <c r="C13" s="3" t="s">
        <v>525</v>
      </c>
      <c r="D13" s="3"/>
      <c r="E13" s="3"/>
      <c r="F13" s="3" t="s">
        <v>57</v>
      </c>
      <c r="G13" s="3"/>
    </row>
    <row r="14" spans="1:7" x14ac:dyDescent="0.25">
      <c r="A14" s="4" t="s">
        <v>86</v>
      </c>
      <c r="B14" s="4" t="s">
        <v>526</v>
      </c>
      <c r="C14" s="4" t="s">
        <v>527</v>
      </c>
      <c r="D14" s="4"/>
      <c r="E14" s="4"/>
      <c r="F14" s="4" t="s">
        <v>57</v>
      </c>
      <c r="G14" s="4"/>
    </row>
    <row r="15" spans="1:7" x14ac:dyDescent="0.25">
      <c r="A15" s="3" t="s">
        <v>89</v>
      </c>
      <c r="B15" s="3" t="s">
        <v>528</v>
      </c>
      <c r="C15" s="3" t="s">
        <v>529</v>
      </c>
      <c r="D15" s="3"/>
      <c r="E15" s="3"/>
      <c r="F15" s="3" t="s">
        <v>57</v>
      </c>
      <c r="G15" s="3"/>
    </row>
    <row r="16" spans="1:7" x14ac:dyDescent="0.25">
      <c r="A16" s="4" t="s">
        <v>91</v>
      </c>
      <c r="B16" s="4" t="s">
        <v>530</v>
      </c>
      <c r="C16" s="4" t="s">
        <v>531</v>
      </c>
      <c r="D16" s="4"/>
      <c r="E16" s="4"/>
      <c r="F16" s="4" t="s">
        <v>57</v>
      </c>
      <c r="G16" s="4"/>
    </row>
    <row r="18" spans="1:7" ht="21.95" customHeight="1" x14ac:dyDescent="0.25">
      <c r="A18" s="18" t="s">
        <v>532</v>
      </c>
      <c r="B18" s="10"/>
      <c r="C18" s="10"/>
      <c r="D18" s="10"/>
      <c r="E18" s="10"/>
      <c r="F18" s="10"/>
      <c r="G18" s="10"/>
    </row>
    <row r="19" spans="1:7" ht="26.1" customHeight="1" x14ac:dyDescent="0.25">
      <c r="A19" s="2" t="s">
        <v>99</v>
      </c>
      <c r="B19" s="2" t="s">
        <v>100</v>
      </c>
      <c r="C19" s="2" t="s">
        <v>514</v>
      </c>
      <c r="D19" s="2" t="s">
        <v>102</v>
      </c>
      <c r="E19" s="2" t="s">
        <v>103</v>
      </c>
      <c r="F19" s="2" t="s">
        <v>27</v>
      </c>
      <c r="G19" s="2" t="s">
        <v>104</v>
      </c>
    </row>
    <row r="20" spans="1:7" ht="25.5" x14ac:dyDescent="0.25">
      <c r="A20" s="3" t="s">
        <v>93</v>
      </c>
      <c r="B20" s="3" t="s">
        <v>533</v>
      </c>
      <c r="C20" s="3" t="s">
        <v>534</v>
      </c>
      <c r="D20" s="3" t="s">
        <v>107</v>
      </c>
      <c r="E20" s="3" t="s">
        <v>535</v>
      </c>
      <c r="F20" s="3" t="s">
        <v>57</v>
      </c>
      <c r="G20" s="3" t="s">
        <v>536</v>
      </c>
    </row>
    <row r="21" spans="1:7" x14ac:dyDescent="0.25">
      <c r="A21" s="4" t="s">
        <v>125</v>
      </c>
      <c r="B21" s="4" t="s">
        <v>537</v>
      </c>
      <c r="C21" s="4" t="s">
        <v>538</v>
      </c>
      <c r="D21" s="4" t="s">
        <v>107</v>
      </c>
      <c r="E21" s="4" t="s">
        <v>535</v>
      </c>
      <c r="F21" s="4" t="s">
        <v>57</v>
      </c>
      <c r="G21" s="4"/>
    </row>
    <row r="22" spans="1:7" x14ac:dyDescent="0.25">
      <c r="A22" s="3" t="s">
        <v>128</v>
      </c>
      <c r="B22" s="3" t="s">
        <v>539</v>
      </c>
      <c r="C22" s="3" t="s">
        <v>540</v>
      </c>
      <c r="D22" s="3" t="s">
        <v>107</v>
      </c>
      <c r="E22" s="3" t="s">
        <v>535</v>
      </c>
      <c r="F22" s="3" t="s">
        <v>57</v>
      </c>
      <c r="G22" s="3"/>
    </row>
    <row r="23" spans="1:7" x14ac:dyDescent="0.25">
      <c r="A23" s="4" t="s">
        <v>131</v>
      </c>
      <c r="B23" s="4" t="s">
        <v>541</v>
      </c>
      <c r="C23" s="4" t="s">
        <v>542</v>
      </c>
      <c r="D23" s="4" t="s">
        <v>11</v>
      </c>
      <c r="E23" s="4" t="s">
        <v>535</v>
      </c>
      <c r="F23" s="4" t="s">
        <v>57</v>
      </c>
      <c r="G23" s="4"/>
    </row>
    <row r="25" spans="1:7" ht="21.95" customHeight="1" x14ac:dyDescent="0.25">
      <c r="A25" s="18" t="s">
        <v>543</v>
      </c>
      <c r="B25" s="10"/>
      <c r="C25" s="10"/>
      <c r="D25" s="10"/>
      <c r="E25" s="10"/>
      <c r="F25" s="10"/>
      <c r="G25" s="10"/>
    </row>
    <row r="26" spans="1:7" ht="26.1" customHeight="1" x14ac:dyDescent="0.25">
      <c r="A26" s="2" t="s">
        <v>99</v>
      </c>
      <c r="B26" s="2" t="s">
        <v>100</v>
      </c>
      <c r="C26" s="2" t="s">
        <v>514</v>
      </c>
      <c r="D26" s="2" t="s">
        <v>102</v>
      </c>
      <c r="E26" s="2" t="s">
        <v>103</v>
      </c>
      <c r="F26" s="2" t="s">
        <v>27</v>
      </c>
      <c r="G26" s="2" t="s">
        <v>104</v>
      </c>
    </row>
    <row r="27" spans="1:7" x14ac:dyDescent="0.25">
      <c r="A27" s="3" t="s">
        <v>136</v>
      </c>
      <c r="B27" s="3" t="s">
        <v>544</v>
      </c>
      <c r="C27" s="3" t="s">
        <v>545</v>
      </c>
      <c r="D27" s="3"/>
      <c r="E27" s="3"/>
      <c r="F27" s="3" t="s">
        <v>57</v>
      </c>
      <c r="G27" s="3"/>
    </row>
    <row r="28" spans="1:7" x14ac:dyDescent="0.25">
      <c r="A28" s="4" t="s">
        <v>140</v>
      </c>
      <c r="B28" s="4" t="s">
        <v>546</v>
      </c>
      <c r="C28" s="4" t="s">
        <v>547</v>
      </c>
      <c r="D28" s="4"/>
      <c r="E28" s="4"/>
      <c r="F28" s="4" t="s">
        <v>57</v>
      </c>
      <c r="G28" s="4"/>
    </row>
    <row r="29" spans="1:7" x14ac:dyDescent="0.25">
      <c r="A29" s="3" t="s">
        <v>143</v>
      </c>
      <c r="B29" s="3" t="s">
        <v>548</v>
      </c>
      <c r="C29" s="3" t="s">
        <v>549</v>
      </c>
      <c r="D29" s="3"/>
      <c r="E29" s="3"/>
      <c r="F29" s="3" t="s">
        <v>57</v>
      </c>
      <c r="G29" s="3"/>
    </row>
  </sheetData>
  <mergeCells count="6">
    <mergeCell ref="A1:G1"/>
    <mergeCell ref="A18:G18"/>
    <mergeCell ref="A4:G4"/>
    <mergeCell ref="A2:G2"/>
    <mergeCell ref="A25:G25"/>
    <mergeCell ref="A11:G11"/>
  </mergeCells>
  <dataValidations count="1">
    <dataValidation type="list" allowBlank="1" sqref="F6:F9 F27:F29 F20:F23 F13:F16" xr:uid="{00000000-0002-0000-0600-000000000000}">
      <formula1>"Chưa bắt đầu,Đang làm,Chờ duyệt,Hoàn thành,Bị chặn,Bỏ qua"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26" customWidth="1"/>
    <col min="3" max="3" width="50" customWidth="1"/>
    <col min="4" max="4" width="16" customWidth="1"/>
    <col min="5" max="5" width="12" customWidth="1"/>
    <col min="6" max="6" width="16" customWidth="1"/>
    <col min="7" max="7" width="26" customWidth="1"/>
  </cols>
  <sheetData>
    <row r="1" spans="1:7" ht="33.950000000000003" customHeight="1" x14ac:dyDescent="0.25">
      <c r="A1" s="19" t="s">
        <v>550</v>
      </c>
      <c r="B1" s="10"/>
      <c r="C1" s="10"/>
      <c r="D1" s="10"/>
      <c r="E1" s="10"/>
      <c r="F1" s="10"/>
      <c r="G1" s="10"/>
    </row>
    <row r="2" spans="1:7" ht="20.100000000000001" customHeight="1" x14ac:dyDescent="0.25">
      <c r="A2" s="20" t="s">
        <v>551</v>
      </c>
      <c r="B2" s="10"/>
      <c r="C2" s="10"/>
      <c r="D2" s="10"/>
      <c r="E2" s="10"/>
      <c r="F2" s="10"/>
      <c r="G2" s="10"/>
    </row>
    <row r="4" spans="1:7" ht="21.95" customHeight="1" x14ac:dyDescent="0.25">
      <c r="A4" s="18" t="s">
        <v>552</v>
      </c>
      <c r="B4" s="10"/>
      <c r="C4" s="10"/>
      <c r="D4" s="10"/>
      <c r="E4" s="10"/>
      <c r="F4" s="10"/>
      <c r="G4" s="10"/>
    </row>
    <row r="5" spans="1:7" ht="26.1" customHeight="1" x14ac:dyDescent="0.25">
      <c r="A5" s="2" t="s">
        <v>99</v>
      </c>
      <c r="B5" s="2" t="s">
        <v>100</v>
      </c>
      <c r="C5" s="2" t="s">
        <v>553</v>
      </c>
      <c r="D5" s="2" t="s">
        <v>102</v>
      </c>
      <c r="E5" s="2" t="s">
        <v>103</v>
      </c>
      <c r="F5" s="2" t="s">
        <v>27</v>
      </c>
      <c r="G5" s="2" t="s">
        <v>104</v>
      </c>
    </row>
    <row r="6" spans="1:7" x14ac:dyDescent="0.25">
      <c r="A6" s="3" t="s">
        <v>69</v>
      </c>
      <c r="B6" s="3" t="s">
        <v>554</v>
      </c>
      <c r="C6" s="3" t="s">
        <v>555</v>
      </c>
      <c r="D6" s="3" t="s">
        <v>11</v>
      </c>
      <c r="E6" s="3" t="s">
        <v>556</v>
      </c>
      <c r="F6" s="3" t="s">
        <v>57</v>
      </c>
      <c r="G6" s="3" t="s">
        <v>557</v>
      </c>
    </row>
    <row r="7" spans="1:7" x14ac:dyDescent="0.25">
      <c r="A7" s="4" t="s">
        <v>72</v>
      </c>
      <c r="B7" s="4" t="s">
        <v>558</v>
      </c>
      <c r="C7" s="4" t="s">
        <v>559</v>
      </c>
      <c r="D7" s="4" t="s">
        <v>107</v>
      </c>
      <c r="E7" s="4" t="s">
        <v>560</v>
      </c>
      <c r="F7" s="4" t="s">
        <v>57</v>
      </c>
      <c r="G7" s="4"/>
    </row>
    <row r="8" spans="1:7" x14ac:dyDescent="0.25">
      <c r="A8" s="3" t="s">
        <v>75</v>
      </c>
      <c r="B8" s="3" t="s">
        <v>561</v>
      </c>
      <c r="C8" s="3" t="s">
        <v>562</v>
      </c>
      <c r="D8" s="3"/>
      <c r="E8" s="3" t="s">
        <v>535</v>
      </c>
      <c r="F8" s="3" t="s">
        <v>57</v>
      </c>
      <c r="G8" s="3"/>
    </row>
    <row r="9" spans="1:7" x14ac:dyDescent="0.25">
      <c r="A9" s="4" t="s">
        <v>78</v>
      </c>
      <c r="B9" s="4" t="s">
        <v>563</v>
      </c>
      <c r="C9" s="4" t="s">
        <v>564</v>
      </c>
      <c r="D9" s="4"/>
      <c r="E9" s="4" t="s">
        <v>535</v>
      </c>
      <c r="F9" s="4" t="s">
        <v>57</v>
      </c>
      <c r="G9" s="4"/>
    </row>
    <row r="10" spans="1:7" ht="25.5" x14ac:dyDescent="0.25">
      <c r="A10" s="3" t="s">
        <v>82</v>
      </c>
      <c r="B10" s="3" t="s">
        <v>565</v>
      </c>
      <c r="C10" s="3" t="s">
        <v>566</v>
      </c>
      <c r="D10" s="3" t="s">
        <v>567</v>
      </c>
      <c r="E10" s="3" t="s">
        <v>535</v>
      </c>
      <c r="F10" s="3" t="s">
        <v>57</v>
      </c>
      <c r="G10" s="3" t="s">
        <v>568</v>
      </c>
    </row>
    <row r="12" spans="1:7" ht="21.95" customHeight="1" x14ac:dyDescent="0.25">
      <c r="A12" s="18" t="s">
        <v>569</v>
      </c>
      <c r="B12" s="10"/>
      <c r="C12" s="10"/>
      <c r="D12" s="10"/>
      <c r="E12" s="10"/>
      <c r="F12" s="10"/>
      <c r="G12" s="10"/>
    </row>
    <row r="13" spans="1:7" ht="26.1" customHeight="1" x14ac:dyDescent="0.25">
      <c r="A13" s="2" t="s">
        <v>99</v>
      </c>
      <c r="B13" s="2" t="s">
        <v>100</v>
      </c>
      <c r="C13" s="2" t="s">
        <v>553</v>
      </c>
      <c r="D13" s="2" t="s">
        <v>102</v>
      </c>
      <c r="E13" s="2" t="s">
        <v>103</v>
      </c>
      <c r="F13" s="2" t="s">
        <v>27</v>
      </c>
      <c r="G13" s="2" t="s">
        <v>104</v>
      </c>
    </row>
    <row r="14" spans="1:7" x14ac:dyDescent="0.25">
      <c r="A14" s="3" t="s">
        <v>86</v>
      </c>
      <c r="B14" s="3" t="s">
        <v>570</v>
      </c>
      <c r="C14" s="3" t="s">
        <v>571</v>
      </c>
      <c r="D14" s="3" t="s">
        <v>107</v>
      </c>
      <c r="E14" s="3" t="s">
        <v>572</v>
      </c>
      <c r="F14" s="3" t="s">
        <v>57</v>
      </c>
      <c r="G14" s="3"/>
    </row>
    <row r="15" spans="1:7" x14ac:dyDescent="0.25">
      <c r="A15" s="4" t="s">
        <v>89</v>
      </c>
      <c r="B15" s="4" t="s">
        <v>573</v>
      </c>
      <c r="C15" s="4" t="s">
        <v>574</v>
      </c>
      <c r="D15" s="4" t="s">
        <v>107</v>
      </c>
      <c r="E15" s="4" t="s">
        <v>572</v>
      </c>
      <c r="F15" s="4" t="s">
        <v>57</v>
      </c>
      <c r="G15" s="4" t="s">
        <v>575</v>
      </c>
    </row>
    <row r="16" spans="1:7" x14ac:dyDescent="0.25">
      <c r="A16" s="3" t="s">
        <v>91</v>
      </c>
      <c r="B16" s="3" t="s">
        <v>576</v>
      </c>
      <c r="C16" s="3" t="s">
        <v>577</v>
      </c>
      <c r="D16" s="3"/>
      <c r="E16" s="3" t="s">
        <v>572</v>
      </c>
      <c r="F16" s="3" t="s">
        <v>57</v>
      </c>
      <c r="G16" s="3"/>
    </row>
    <row r="17" spans="1:7" ht="25.5" x14ac:dyDescent="0.25">
      <c r="A17" s="4" t="s">
        <v>93</v>
      </c>
      <c r="B17" s="4" t="s">
        <v>578</v>
      </c>
      <c r="C17" s="4" t="s">
        <v>579</v>
      </c>
      <c r="D17" s="4" t="s">
        <v>11</v>
      </c>
      <c r="E17" s="4" t="s">
        <v>580</v>
      </c>
      <c r="F17" s="4" t="s">
        <v>57</v>
      </c>
      <c r="G17" s="4"/>
    </row>
    <row r="19" spans="1:7" ht="21.95" customHeight="1" x14ac:dyDescent="0.25">
      <c r="A19" s="18" t="s">
        <v>581</v>
      </c>
      <c r="B19" s="10"/>
      <c r="C19" s="10"/>
      <c r="D19" s="10"/>
      <c r="E19" s="10"/>
      <c r="F19" s="10"/>
      <c r="G19" s="10"/>
    </row>
    <row r="20" spans="1:7" ht="26.1" customHeight="1" x14ac:dyDescent="0.25">
      <c r="A20" s="2" t="s">
        <v>99</v>
      </c>
      <c r="B20" s="2" t="s">
        <v>100</v>
      </c>
      <c r="C20" s="2" t="s">
        <v>553</v>
      </c>
      <c r="D20" s="2" t="s">
        <v>102</v>
      </c>
      <c r="E20" s="2" t="s">
        <v>103</v>
      </c>
      <c r="F20" s="2" t="s">
        <v>27</v>
      </c>
      <c r="G20" s="2" t="s">
        <v>104</v>
      </c>
    </row>
    <row r="21" spans="1:7" x14ac:dyDescent="0.25">
      <c r="A21" s="3" t="s">
        <v>125</v>
      </c>
      <c r="B21" s="3" t="s">
        <v>582</v>
      </c>
      <c r="C21" s="3" t="s">
        <v>583</v>
      </c>
      <c r="D21" s="3"/>
      <c r="E21" s="3"/>
      <c r="F21" s="3" t="s">
        <v>57</v>
      </c>
      <c r="G21" s="3"/>
    </row>
    <row r="22" spans="1:7" x14ac:dyDescent="0.25">
      <c r="A22" s="4" t="s">
        <v>128</v>
      </c>
      <c r="B22" s="4" t="s">
        <v>584</v>
      </c>
      <c r="C22" s="4" t="s">
        <v>585</v>
      </c>
      <c r="D22" s="4"/>
      <c r="E22" s="4"/>
      <c r="F22" s="4" t="s">
        <v>57</v>
      </c>
      <c r="G22" s="4"/>
    </row>
    <row r="23" spans="1:7" x14ac:dyDescent="0.25">
      <c r="A23" s="3" t="s">
        <v>131</v>
      </c>
      <c r="B23" s="3" t="s">
        <v>586</v>
      </c>
      <c r="C23" s="3" t="s">
        <v>587</v>
      </c>
      <c r="D23" s="3"/>
      <c r="E23" s="3"/>
      <c r="F23" s="3" t="s">
        <v>57</v>
      </c>
      <c r="G23" s="3"/>
    </row>
    <row r="25" spans="1:7" ht="21.95" customHeight="1" x14ac:dyDescent="0.25">
      <c r="A25" s="21" t="s">
        <v>588</v>
      </c>
      <c r="B25" s="10"/>
      <c r="C25" s="10"/>
      <c r="D25" s="10"/>
      <c r="E25" s="10"/>
      <c r="F25" s="10"/>
      <c r="G25" s="10"/>
    </row>
    <row r="26" spans="1:7" ht="26.1" customHeight="1" x14ac:dyDescent="0.25">
      <c r="A26" s="7" t="s">
        <v>99</v>
      </c>
      <c r="B26" s="7" t="s">
        <v>100</v>
      </c>
      <c r="C26" s="7" t="s">
        <v>553</v>
      </c>
      <c r="D26" s="7" t="s">
        <v>102</v>
      </c>
      <c r="E26" s="7" t="s">
        <v>103</v>
      </c>
      <c r="F26" s="7" t="s">
        <v>27</v>
      </c>
      <c r="G26" s="7" t="s">
        <v>104</v>
      </c>
    </row>
    <row r="27" spans="1:7" x14ac:dyDescent="0.25">
      <c r="A27" s="3" t="s">
        <v>136</v>
      </c>
      <c r="B27" s="3" t="s">
        <v>589</v>
      </c>
      <c r="C27" s="3" t="s">
        <v>590</v>
      </c>
      <c r="D27" s="3"/>
      <c r="E27" s="3"/>
      <c r="F27" s="3" t="s">
        <v>57</v>
      </c>
      <c r="G27" s="3"/>
    </row>
    <row r="28" spans="1:7" x14ac:dyDescent="0.25">
      <c r="A28" s="4" t="s">
        <v>140</v>
      </c>
      <c r="B28" s="4" t="s">
        <v>591</v>
      </c>
      <c r="C28" s="4" t="s">
        <v>592</v>
      </c>
      <c r="D28" s="4"/>
      <c r="E28" s="4"/>
      <c r="F28" s="4" t="s">
        <v>57</v>
      </c>
      <c r="G28" s="4"/>
    </row>
    <row r="29" spans="1:7" x14ac:dyDescent="0.25">
      <c r="A29" s="3" t="s">
        <v>143</v>
      </c>
      <c r="B29" s="3" t="s">
        <v>593</v>
      </c>
      <c r="C29" s="3" t="s">
        <v>594</v>
      </c>
      <c r="D29" s="3"/>
      <c r="E29" s="3"/>
      <c r="F29" s="3" t="s">
        <v>57</v>
      </c>
      <c r="G29" s="3"/>
    </row>
  </sheetData>
  <mergeCells count="6">
    <mergeCell ref="A1:G1"/>
    <mergeCell ref="A12:G12"/>
    <mergeCell ref="A4:G4"/>
    <mergeCell ref="A2:G2"/>
    <mergeCell ref="A25:G25"/>
    <mergeCell ref="A19:G19"/>
  </mergeCells>
  <dataValidations count="1">
    <dataValidation type="list" allowBlank="1" sqref="F6:F10 F27:F29 F21:F23 F14:F17" xr:uid="{00000000-0002-0000-0700-000000000000}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00. Trang bìa</vt:lpstr>
      <vt:lpstr>01. Setup ban đầu</vt:lpstr>
      <vt:lpstr>02. Lấy nội dung</vt:lpstr>
      <vt:lpstr>03. Phân tích</vt:lpstr>
      <vt:lpstr>04. Code BE-FE</vt:lpstr>
      <vt:lpstr>05. Test case</vt:lpstr>
      <vt:lpstr>06. Deploy</vt:lpstr>
      <vt:lpstr>07. Go-live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Triet, Tran Minh</cp:lastModifiedBy>
  <dcterms:created xsi:type="dcterms:W3CDTF">2026-06-27T03:01:24Z</dcterms:created>
  <dcterms:modified xsi:type="dcterms:W3CDTF">2026-06-29T03:51:32Z</dcterms:modified>
</cp:coreProperties>
</file>