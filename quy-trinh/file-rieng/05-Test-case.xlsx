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4" customHeight="1">
      <c r="A1" s="1" t="inlineStr">
        <is>
          <t>BƯỚC 5 — TEST CASE / UNIT TEST  (GIAI ĐOẠN HIỆN TẠI)</t>
        </is>
      </c>
    </row>
    <row r="2" ht="20" customHeight="1">
      <c r="A2" s="2" t="inlineStr">
        <is>
          <t>#485 Test case module Docs (Done 11/06) • #486 Unit case with docs (Open, đến 03/07) — Tester: Nguyễn Đức Khánh, 3 bộ hồ sơ • Go-live 06/07/2026</t>
        </is>
      </c>
    </row>
    <row r="4" ht="22" customHeight="1">
      <c r="A4" s="3" t="inlineStr">
        <is>
          <t>A0. BỘ HỒ SƠ KIỂM THỬ (3 BỘ ĐÃ UPLOAD)</t>
        </is>
      </c>
    </row>
    <row r="5" ht="26" customHeight="1">
      <c r="A5" s="4" t="inlineStr">
        <is>
          <t>Bộ</t>
        </is>
      </c>
      <c r="B5" s="4" t="inlineStr">
        <is>
          <t>Tên hồ sơ / Đương đơn</t>
        </is>
      </c>
      <c r="C5" s="4" t="inlineStr">
        <is>
          <t>Loại form</t>
        </is>
      </c>
      <c r="D5" s="4" t="inlineStr">
        <is>
          <t>Giấy tờ đã upload</t>
        </is>
      </c>
      <c r="E5" s="4" t="inlineStr">
        <is>
          <t>Tester</t>
        </is>
      </c>
      <c r="F5" s="4" t="inlineStr">
        <is>
          <t>Tiến độ</t>
        </is>
      </c>
      <c r="G5" s="4" t="inlineStr">
        <is>
          <t>Kết quả</t>
        </is>
      </c>
      <c r="H5" s="4" t="inlineStr">
        <is>
          <t>Ghi chú</t>
        </is>
      </c>
      <c r="I5" s="4" t="inlineStr"/>
      <c r="J5" s="4" t="inlineStr"/>
      <c r="K5" s="4" t="inlineStr"/>
    </row>
    <row r="6">
      <c r="A6" s="5" t="inlineStr">
        <is>
          <t>Bộ 1</t>
        </is>
      </c>
      <c r="B6" s="5" t="inlineStr">
        <is>
          <t>________________</t>
        </is>
      </c>
      <c r="C6" s="5" t="inlineStr">
        <is>
          <t>DS-160</t>
        </is>
      </c>
      <c r="D6" s="5" t="inlineStr">
        <is>
          <t>Passport, visa, I-20...</t>
        </is>
      </c>
      <c r="E6" s="5" t="inlineStr">
        <is>
          <t>Nguyễn Đức Khánh</t>
        </is>
      </c>
      <c r="F6" s="5" t="inlineStr">
        <is>
          <t>Đang test</t>
        </is>
      </c>
      <c r="G6" s="5" t="inlineStr">
        <is>
          <t>Chưa test</t>
        </is>
      </c>
      <c r="H6" s="5" t="inlineStr"/>
      <c r="I6" s="5" t="inlineStr"/>
      <c r="J6" s="5" t="inlineStr"/>
      <c r="K6" s="5" t="inlineStr"/>
    </row>
    <row r="7">
      <c r="A7" s="6" t="inlineStr">
        <is>
          <t>Bộ 2</t>
        </is>
      </c>
      <c r="B7" s="6" t="inlineStr">
        <is>
          <t>________________</t>
        </is>
      </c>
      <c r="C7" s="6" t="inlineStr">
        <is>
          <t>I-539</t>
        </is>
      </c>
      <c r="D7" s="6" t="inlineStr">
        <is>
          <t>Passport, I-94...</t>
        </is>
      </c>
      <c r="E7" s="6" t="inlineStr">
        <is>
          <t>Nguyễn Đức Khánh</t>
        </is>
      </c>
      <c r="F7" s="6" t="inlineStr">
        <is>
          <t>Đang test</t>
        </is>
      </c>
      <c r="G7" s="6" t="inlineStr">
        <is>
          <t>Chưa test</t>
        </is>
      </c>
      <c r="H7" s="6" t="inlineStr"/>
      <c r="I7" s="6" t="inlineStr"/>
      <c r="J7" s="6" t="inlineStr"/>
      <c r="K7" s="6" t="inlineStr"/>
    </row>
    <row r="8">
      <c r="A8" s="5" t="inlineStr">
        <is>
          <t>Bộ 3</t>
        </is>
      </c>
      <c r="B8" s="5" t="inlineStr">
        <is>
          <t>________________</t>
        </is>
      </c>
      <c r="C8" s="5" t="inlineStr">
        <is>
          <t>DS-260</t>
        </is>
      </c>
      <c r="D8" s="5" t="inlineStr">
        <is>
          <t>Hồ sơ gia đình...</t>
        </is>
      </c>
      <c r="E8" s="5" t="inlineStr">
        <is>
          <t>Nguyễn Đức Khánh</t>
        </is>
      </c>
      <c r="F8" s="5" t="inlineStr">
        <is>
          <t>Đang test</t>
        </is>
      </c>
      <c r="G8" s="5" t="inlineStr">
        <is>
          <t>Chưa test</t>
        </is>
      </c>
      <c r="H8" s="5" t="inlineStr"/>
      <c r="I8" s="5" t="inlineStr"/>
      <c r="J8" s="5" t="inlineStr"/>
      <c r="K8" s="5" t="inlineStr"/>
    </row>
    <row r="10" ht="22" customHeight="1">
      <c r="A10" s="3" t="inlineStr">
        <is>
          <t>A. CA KIỂM THỬ (TEST CASES)</t>
        </is>
      </c>
    </row>
    <row r="11" ht="26" customHeight="1">
      <c r="A11" s="7" t="inlineStr">
        <is>
          <t>Mã TC</t>
        </is>
      </c>
      <c r="B11" s="7" t="inlineStr">
        <is>
          <t>UC/YC</t>
        </is>
      </c>
      <c r="C11" s="7" t="inlineStr">
        <is>
          <t>Tiêu đề</t>
        </is>
      </c>
      <c r="D11" s="7" t="inlineStr">
        <is>
          <t>Tiền điều kiện</t>
        </is>
      </c>
      <c r="E11" s="7" t="inlineStr">
        <is>
          <t>Các bước thực hiện</t>
        </is>
      </c>
      <c r="F11" s="7" t="inlineStr">
        <is>
          <t>Dữ liệu test</t>
        </is>
      </c>
      <c r="G11" s="7" t="inlineStr">
        <is>
          <t>Kết quả mong đợi</t>
        </is>
      </c>
      <c r="H11" s="7" t="inlineStr">
        <is>
          <t>Kết quả thực tế</t>
        </is>
      </c>
      <c r="I11" s="7" t="inlineStr">
        <is>
          <t>Kết quả</t>
        </is>
      </c>
      <c r="J11" s="7" t="inlineStr">
        <is>
          <t>Người test</t>
        </is>
      </c>
      <c r="K11" s="7" t="inlineStr">
        <is>
          <t>Ghi chú</t>
        </is>
      </c>
    </row>
    <row r="12">
      <c r="A12" s="5" t="inlineStr">
        <is>
          <t>TC-01</t>
        </is>
      </c>
      <c r="B12" s="5" t="inlineStr">
        <is>
          <t>UC-01</t>
        </is>
      </c>
      <c r="C12" s="5" t="inlineStr">
        <is>
          <t>Đăng ký thành công</t>
        </is>
      </c>
      <c r="D12" s="5" t="inlineStr">
        <is>
          <t>Chưa có tài khoản</t>
        </is>
      </c>
      <c r="E12" s="5" t="inlineStr">
        <is>
          <t>1.Mở /register 2.Nhập email,mk 3.Submit</t>
        </is>
      </c>
      <c r="F12" s="5" t="inlineStr">
        <is>
          <t>email mới hợp lệ</t>
        </is>
      </c>
      <c r="G12" s="5" t="inlineStr">
        <is>
          <t>Tạo tài khoản, chuyển login</t>
        </is>
      </c>
      <c r="H12" s="5" t="inlineStr"/>
      <c r="I12" s="5" t="inlineStr">
        <is>
          <t>Chưa test</t>
        </is>
      </c>
      <c r="J12" s="5" t="inlineStr">
        <is>
          <t>Nguyễn Đức Khánh</t>
        </is>
      </c>
      <c r="K12" s="5" t="inlineStr"/>
    </row>
    <row r="13">
      <c r="A13" s="6" t="inlineStr">
        <is>
          <t>TC-02</t>
        </is>
      </c>
      <c r="B13" s="6" t="inlineStr">
        <is>
          <t>UC-01</t>
        </is>
      </c>
      <c r="C13" s="6" t="inlineStr">
        <is>
          <t>Đăng nhập sai mật khẩu</t>
        </is>
      </c>
      <c r="D13" s="6" t="inlineStr">
        <is>
          <t>Đã có tài khoản</t>
        </is>
      </c>
      <c r="E13" s="6" t="inlineStr">
        <is>
          <t>1.Mở /login 2.Nhập sai mk 3.Submit</t>
        </is>
      </c>
      <c r="F13" s="6" t="inlineStr">
        <is>
          <t>mật khẩu sai</t>
        </is>
      </c>
      <c r="G13" s="6" t="inlineStr">
        <is>
          <t>Báo lỗi, không cấp token</t>
        </is>
      </c>
      <c r="H13" s="6" t="inlineStr"/>
      <c r="I13" s="6" t="inlineStr">
        <is>
          <t>Chưa test</t>
        </is>
      </c>
      <c r="J13" s="6" t="inlineStr">
        <is>
          <t>Nguyễn Đức Khánh</t>
        </is>
      </c>
      <c r="K13" s="6" t="inlineStr"/>
    </row>
    <row r="14">
      <c r="A14" s="5" t="inlineStr">
        <is>
          <t>TC-03</t>
        </is>
      </c>
      <c r="B14" s="5" t="inlineStr">
        <is>
          <t>UC-02</t>
        </is>
      </c>
      <c r="C14" s="5" t="inlineStr">
        <is>
          <t>Upload file hợp lệ</t>
        </is>
      </c>
      <c r="D14" s="5" t="inlineStr">
        <is>
          <t>Đã đăng nhập</t>
        </is>
      </c>
      <c r="E14" s="5" t="inlineStr">
        <is>
          <t>1.Mở /upload 2.Chọn passport.pdf 3.Upload</t>
        </is>
      </c>
      <c r="F14" s="5" t="inlineStr">
        <is>
          <t>passport.pdf</t>
        </is>
      </c>
      <c r="G14" s="5" t="inlineStr">
        <is>
          <t>Lưu file, hiện trong danh sách</t>
        </is>
      </c>
      <c r="H14" s="5" t="inlineStr"/>
      <c r="I14" s="5" t="inlineStr">
        <is>
          <t>Chưa test</t>
        </is>
      </c>
      <c r="J14" s="5" t="inlineStr">
        <is>
          <t>Nguyễn Đức Khánh</t>
        </is>
      </c>
      <c r="K14" s="5" t="inlineStr"/>
    </row>
    <row r="15">
      <c r="A15" s="6" t="inlineStr">
        <is>
          <t>TC-04</t>
        </is>
      </c>
      <c r="B15" s="6" t="inlineStr">
        <is>
          <t>UC-02</t>
        </is>
      </c>
      <c r="C15" s="6" t="inlineStr">
        <is>
          <t>Upload sai định dạng</t>
        </is>
      </c>
      <c r="D15" s="6" t="inlineStr">
        <is>
          <t>Đã đăng nhập</t>
        </is>
      </c>
      <c r="E15" s="6" t="inlineStr">
        <is>
          <t>1.Chọn file .exe 2.Upload</t>
        </is>
      </c>
      <c r="F15" s="6" t="inlineStr">
        <is>
          <t>file.exe</t>
        </is>
      </c>
      <c r="G15" s="6" t="inlineStr">
        <is>
          <t>Báo lỗi định dạng</t>
        </is>
      </c>
      <c r="H15" s="6" t="inlineStr"/>
      <c r="I15" s="6" t="inlineStr">
        <is>
          <t>Chưa test</t>
        </is>
      </c>
      <c r="J15" s="6" t="inlineStr">
        <is>
          <t>Nguyễn Đức Khánh</t>
        </is>
      </c>
      <c r="K15" s="6" t="inlineStr"/>
    </row>
    <row r="16">
      <c r="A16" s="5" t="inlineStr">
        <is>
          <t>TC-05</t>
        </is>
      </c>
      <c r="B16" s="5" t="inlineStr">
        <is>
          <t>UC-03</t>
        </is>
      </c>
      <c r="C16" s="5" t="inlineStr">
        <is>
          <t>Trích xuất dữ liệu</t>
        </is>
      </c>
      <c r="D16" s="5" t="inlineStr">
        <is>
          <t>Đã upload giấy tờ</t>
        </is>
      </c>
      <c r="E16" s="5" t="inlineStr">
        <is>
          <t>1.Chạy pipeline OCR</t>
        </is>
      </c>
      <c r="F16" s="5" t="inlineStr">
        <is>
          <t>passport mẫu</t>
        </is>
      </c>
      <c r="G16" s="5" t="inlineStr">
        <is>
          <t>Field chính được trích đúng</t>
        </is>
      </c>
      <c r="H16" s="5" t="inlineStr"/>
      <c r="I16" s="5" t="inlineStr">
        <is>
          <t>Chưa test</t>
        </is>
      </c>
      <c r="J16" s="5" t="inlineStr">
        <is>
          <t>Nguyễn Đức Khánh</t>
        </is>
      </c>
      <c r="K16" s="5" t="inlineStr"/>
    </row>
    <row r="17">
      <c r="A17" s="6" t="inlineStr">
        <is>
          <t>TC-06</t>
        </is>
      </c>
      <c r="B17" s="6" t="inlineStr">
        <is>
          <t>UC-03</t>
        </is>
      </c>
      <c r="C17" s="6" t="inlineStr">
        <is>
          <t>Demo mode khi thiếu API key</t>
        </is>
      </c>
      <c r="D17" s="6" t="inlineStr">
        <is>
          <t>Không có OPENAI_API_KEY</t>
        </is>
      </c>
      <c r="E17" s="6" t="inlineStr">
        <is>
          <t>1.Upload 2.Xử lý</t>
        </is>
      </c>
      <c r="F17" s="6" t="inlineStr">
        <is>
          <t>tên file mẫu</t>
        </is>
      </c>
      <c r="G17" s="6" t="inlineStr">
        <is>
          <t>Dùng dữ liệu demo, không crash</t>
        </is>
      </c>
      <c r="H17" s="6" t="inlineStr"/>
      <c r="I17" s="6" t="inlineStr">
        <is>
          <t>Chưa test</t>
        </is>
      </c>
      <c r="J17" s="6" t="inlineStr">
        <is>
          <t>Nguyễn Đức Khánh</t>
        </is>
      </c>
      <c r="K17" s="6" t="inlineStr"/>
    </row>
    <row r="18">
      <c r="A18" s="5" t="inlineStr">
        <is>
          <t>TC-07</t>
        </is>
      </c>
      <c r="B18" s="5" t="inlineStr">
        <is>
          <t>UC-04</t>
        </is>
      </c>
      <c r="C18" s="5" t="inlineStr">
        <is>
          <t>Sửa field &amp; duyệt</t>
        </is>
      </c>
      <c r="D18" s="5" t="inlineStr">
        <is>
          <t>Có profile merge</t>
        </is>
      </c>
      <c r="E18" s="5" t="inlineStr">
        <is>
          <t>1.Mở /review 2.Sửa field 3.Approve</t>
        </is>
      </c>
      <c r="F18" s="5" t="inlineStr">
        <is>
          <t>field xung đột</t>
        </is>
      </c>
      <c r="G18" s="5" t="inlineStr">
        <is>
          <t>Lưu thay đổi, status=approved</t>
        </is>
      </c>
      <c r="H18" s="5" t="inlineStr"/>
      <c r="I18" s="5" t="inlineStr">
        <is>
          <t>Chưa test</t>
        </is>
      </c>
      <c r="J18" s="5" t="inlineStr">
        <is>
          <t>Nguyễn Đức Khánh</t>
        </is>
      </c>
      <c r="K18" s="5" t="inlineStr"/>
    </row>
    <row r="19">
      <c r="A19" s="6" t="inlineStr">
        <is>
          <t>TC-08</t>
        </is>
      </c>
      <c r="B19" s="6" t="inlineStr">
        <is>
          <t>UC-05</t>
        </is>
      </c>
      <c r="C19" s="6" t="inlineStr">
        <is>
          <t>Xuất Word</t>
        </is>
      </c>
      <c r="D19" s="6" t="inlineStr">
        <is>
          <t>Hồ sơ đã duyệt</t>
        </is>
      </c>
      <c r="E19" s="6" t="inlineStr">
        <is>
          <t>1.Bấm Export</t>
        </is>
      </c>
      <c r="F19" s="6" t="inlineStr">
        <is>
          <t>DS-160 worksheet</t>
        </is>
      </c>
      <c r="G19" s="6" t="inlineStr">
        <is>
          <t>Tải file Word đúng template</t>
        </is>
      </c>
      <c r="H19" s="6" t="inlineStr"/>
      <c r="I19" s="6" t="inlineStr">
        <is>
          <t>Chưa test</t>
        </is>
      </c>
      <c r="J19" s="6" t="inlineStr">
        <is>
          <t>Nguyễn Đức Khánh</t>
        </is>
      </c>
      <c r="K19" s="6" t="inlineStr"/>
    </row>
    <row r="21" ht="22" customHeight="1">
      <c r="A21" s="8" t="inlineStr">
        <is>
          <t>B. NHẬT KÝ LỖI (BUG LOG)</t>
        </is>
      </c>
    </row>
    <row r="22" ht="26" customHeight="1">
      <c r="A22" s="9" t="inlineStr">
        <is>
          <t>Mã lỗi</t>
        </is>
      </c>
      <c r="B22" s="9" t="inlineStr">
        <is>
          <t>TC liên quan</t>
        </is>
      </c>
      <c r="C22" s="9" t="inlineStr">
        <is>
          <t>Mô tả lỗi</t>
        </is>
      </c>
      <c r="D22" s="9" t="inlineStr">
        <is>
          <t>Bước tái hiện</t>
        </is>
      </c>
      <c r="E22" s="9" t="inlineStr">
        <is>
          <t>Mức độ</t>
        </is>
      </c>
      <c r="F22" s="9" t="inlineStr">
        <is>
          <t>Môi trường</t>
        </is>
      </c>
      <c r="G22" s="9" t="inlineStr">
        <is>
          <t>Người báo</t>
        </is>
      </c>
      <c r="H22" s="9" t="inlineStr">
        <is>
          <t>Người sửa</t>
        </is>
      </c>
      <c r="I22" s="9" t="inlineStr">
        <is>
          <t>Trạng thái</t>
        </is>
      </c>
      <c r="J22" s="9" t="inlineStr">
        <is>
          <t>Ngày</t>
        </is>
      </c>
      <c r="K22" s="9" t="inlineStr">
        <is>
          <t>Ghi chú</t>
        </is>
      </c>
    </row>
    <row r="23">
      <c r="A23" s="5" t="inlineStr">
        <is>
          <t>BUG-01</t>
        </is>
      </c>
      <c r="B23" s="5" t="inlineStr"/>
      <c r="C23" s="5" t="inlineStr"/>
      <c r="D23" s="5" t="inlineStr"/>
      <c r="E23" s="5" t="inlineStr"/>
      <c r="F23" s="5" t="inlineStr">
        <is>
          <t>Dev</t>
        </is>
      </c>
      <c r="G23" s="5" t="inlineStr"/>
      <c r="H23" s="5" t="inlineStr"/>
      <c r="I23" s="5" t="inlineStr">
        <is>
          <t>Chưa bắt đầu</t>
        </is>
      </c>
      <c r="J23" s="5" t="inlineStr"/>
      <c r="K23" s="5" t="inlineStr"/>
    </row>
    <row r="24">
      <c r="A24" s="6" t="inlineStr">
        <is>
          <t>BUG-02</t>
        </is>
      </c>
      <c r="B24" s="6" t="inlineStr"/>
      <c r="C24" s="6" t="inlineStr"/>
      <c r="D24" s="6" t="inlineStr"/>
      <c r="E24" s="6" t="inlineStr"/>
      <c r="F24" s="6" t="inlineStr">
        <is>
          <t>Dev</t>
        </is>
      </c>
      <c r="G24" s="6" t="inlineStr"/>
      <c r="H24" s="6" t="inlineStr"/>
      <c r="I24" s="6" t="inlineStr">
        <is>
          <t>Chưa bắt đầu</t>
        </is>
      </c>
      <c r="J24" s="6" t="inlineStr"/>
      <c r="K24" s="6" t="inlineStr"/>
    </row>
    <row r="25">
      <c r="A25" s="5" t="inlineStr">
        <is>
          <t>BUG-03</t>
        </is>
      </c>
      <c r="B25" s="5" t="inlineStr"/>
      <c r="C25" s="5" t="inlineStr"/>
      <c r="D25" s="5" t="inlineStr"/>
      <c r="E25" s="5" t="inlineStr"/>
      <c r="F25" s="5" t="inlineStr">
        <is>
          <t>Dev</t>
        </is>
      </c>
      <c r="G25" s="5" t="inlineStr"/>
      <c r="H25" s="5" t="inlineStr"/>
      <c r="I25" s="5" t="inlineStr">
        <is>
          <t>Chưa bắt đầu</t>
        </is>
      </c>
      <c r="J25" s="5" t="inlineStr"/>
      <c r="K25" s="5" t="inlineStr"/>
    </row>
    <row r="27" ht="22" customHeight="1">
      <c r="A27" s="3" t="inlineStr">
        <is>
          <t>C. TỔNG HỢP KẾT QUẢ (TỰ ĐỘNG TÍNH)</t>
        </is>
      </c>
    </row>
    <row r="28" ht="26" customHeight="1">
      <c r="A28" s="4" t="inlineStr">
        <is>
          <t>Chỉ số</t>
        </is>
      </c>
      <c r="B28" s="4" t="inlineStr">
        <is>
          <t>Giá trị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5" t="inlineStr">
        <is>
          <t>Tổng số test case</t>
        </is>
      </c>
      <c r="B29" s="5">
        <f>COUNTA(A12:A19)</f>
        <v/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6" t="inlineStr">
        <is>
          <t>Số Đạt</t>
        </is>
      </c>
      <c r="B30" s="6">
        <f>COUNTIF(I12:I19,"Đạt")</f>
        <v/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5" t="inlineStr">
        <is>
          <t>Số Không đạt</t>
        </is>
      </c>
      <c r="B31" s="5">
        <f>COUNTIF(I12:I19,"Không đạt")</f>
        <v/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6" t="inlineStr">
        <is>
          <t>Số chưa test</t>
        </is>
      </c>
      <c r="B32" s="6">
        <f>COUNTIF(I12:I19,"Chưa test")</f>
        <v/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5" t="inlineStr">
        <is>
          <t>Tỷ lệ pass</t>
        </is>
      </c>
      <c r="B33" s="10">
        <f>IF(B29=0,0,B30/B29)</f>
        <v/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6" t="inlineStr">
        <is>
          <t>Số bug đang mở</t>
        </is>
      </c>
      <c r="B34" s="6">
        <f>COUNTIFS(C23:C25,"&lt;&gt;",I23:I25,"&lt;&gt;Hoàn thành")</f>
        <v/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</sheetData>
  <mergeCells count="6">
    <mergeCell ref="A4:K4"/>
    <mergeCell ref="A21:K21"/>
    <mergeCell ref="A2:K2"/>
    <mergeCell ref="A10:K10"/>
    <mergeCell ref="A1:K1"/>
    <mergeCell ref="A27:K27"/>
  </mergeCells>
  <dataValidations count="5">
    <dataValidation sqref="F6:F8" showDropDown="0" showInputMessage="0" showErrorMessage="0" allowBlank="1" type="list">
      <formula1>"Chưa bắt đầu,Đang làm,Chờ duyệt,Hoàn thành,Bị chặn,Bỏ qua"</formula1>
    </dataValidation>
    <dataValidation sqref="G6:G8" showDropDown="0" showInputMessage="0" showErrorMessage="0" allowBlank="1" type="list">
      <formula1>"Đạt,Không đạt,Chưa test,Đang test"</formula1>
    </dataValidation>
    <dataValidation sqref="I12:I19" showDropDown="0" showInputMessage="0" showErrorMessage="0" allowBlank="1" type="list">
      <formula1>"Đạt,Không đạt,Chưa test,Đang test"</formula1>
    </dataValidation>
    <dataValidation sqref="E23:E25" showDropDown="0" showInputMessage="0" showErrorMessage="0" allowBlank="1" type="list">
      <formula1>"Nghiêm trọng,Cao,Trung bình,Thấp"</formula1>
    </dataValidation>
    <dataValidation sqref="I23:I25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